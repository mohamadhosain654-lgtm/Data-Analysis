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Data Analaysis\"/>
    </mc:Choice>
  </mc:AlternateContent>
  <xr:revisionPtr revIDLastSave="0" documentId="8_{E60B96DC-9D88-4718-894E-AD2F24094C32}" xr6:coauthVersionLast="47" xr6:coauthVersionMax="47" xr10:uidLastSave="{00000000-0000-0000-0000-000000000000}"/>
  <bookViews>
    <workbookView xWindow="-110" yWindow="-110" windowWidth="19420" windowHeight="10420" firstSheet="4" activeTab="5" xr2:uid="{D92747A6-114A-4FAC-BE51-CEE2696AA1FF}"/>
  </bookViews>
  <sheets>
    <sheet name="جدول_المنتجات" sheetId="5" r:id="rId1"/>
    <sheet name="جدول_المبيعات" sheetId="4" r:id="rId2"/>
    <sheet name="جدول_العملاء" sheetId="3" r:id="rId3"/>
    <sheet name="جدول_الفروع" sheetId="2" r:id="rId4"/>
    <sheet name="Pivot Table" sheetId="1" r:id="rId5"/>
    <sheet name="Dashboard" sheetId="6" r:id="rId6"/>
  </sheets>
  <definedNames>
    <definedName name="_xlcn.WorksheetConnection_Book1جدول_العملاء1" hidden="1">جدول_العملاء[]</definedName>
    <definedName name="_xlcn.WorksheetConnection_Book1جدول_الفروع1" hidden="1">جدول_الفروع[]</definedName>
    <definedName name="_xlcn.WorksheetConnection_Book1جدول_المبيعات1" hidden="1">جدول_المبيعات[]</definedName>
    <definedName name="_xlcn.WorksheetConnection_Book1جدول_المنتجات1" hidden="1">جدول_المنتجات[]</definedName>
    <definedName name="ExternalData_1" localSheetId="3" hidden="1">جدول_الفروع!$A$1:$C$6</definedName>
    <definedName name="ExternalData_2" localSheetId="2" hidden="1">جدول_العملاء!$A$1:$D$21</definedName>
    <definedName name="ExternalData_3" localSheetId="1" hidden="1">جدول_المبيعات!$A$1:$O$21</definedName>
    <definedName name="ExternalData_4" localSheetId="0" hidden="1">جدول_المنتجات!$A$1:$D$16</definedName>
    <definedName name="Slicer_اسم_العميل">#N/A</definedName>
    <definedName name="Slicer_اسم_الفرع">#N/A</definedName>
    <definedName name="Slicer_الفئة">#N/A</definedName>
    <definedName name="Slicer_المدينة">#N/A</definedName>
    <definedName name="Slicer_تاريخ_الطلب">#N/A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جدول_المنتجات" name="جدول_المنتجات" connection="WorksheetConnection_Book1!جدول_المنتجات"/>
          <x15:modelTable id="جدول_المبيعات" name="جدول_المبيعات" connection="WorksheetConnection_Book1!جدول_المبيعات"/>
          <x15:modelTable id="جدول_الفروع" name="جدول_الفروع" connection="WorksheetConnection_Book1!جدول_الفروع"/>
          <x15:modelTable id="جدول_العملاء" name="جدول_العملاء" connection="WorksheetConnection_Book1!جدول_العملاء"/>
        </x15:modelTables>
        <x15:modelRelationships>
          <x15:modelRelationship fromTable="جدول_المبيعات" fromColumn="معرف_الفرع" toTable="جدول_الفروع" toColumn="معرف_الفرع"/>
          <x15:modelRelationship fromTable="جدول_المبيعات" fromColumn="معرف_المنتج" toTable="جدول_المنتجات" toColumn="معرف_المنتج"/>
          <x15:modelRelationship fromTable="جدول_العملاء" fromColumn="معرف_العميل" toTable="جدول_المبيعات" toColumn="معرف_العميل"/>
        </x15:modelRelationships>
        <x15:extLst>
          <ext xmlns:x16="http://schemas.microsoft.com/office/spreadsheetml/2014/11/main" uri="{9835A34E-60A6-4A7C-AAB8-D5F71C897F49}">
            <x16:modelTimeGroupings>
              <x16:modelTimeGrouping tableName="جدول_المبيعات" columnName="تاريخ_الطلب" columnId="تاريخ_الطلب">
                <x16:calculatedTimeColumn columnName="تاريخ_الطلب (Month Index)" columnId="تاريخ_الطلب (Month Index)" contentType="monthsindex" isSelected="1"/>
                <x16:calculatedTimeColumn columnName="تاريخ_الطلب (Month)" columnId="تاريخ_الطلب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A5" i="1" l="1"/>
  <c r="BJ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AD1B6E-7251-4686-AE4E-F82A2072739A}" keepAlive="1" name="Query - جدول_العملاء" description="Connection to the 'جدول_العملاء' query in the workbook." type="5" refreshedVersion="8" background="1" saveData="1">
    <dbPr connection="Provider=Microsoft.Mashup.OleDb.1;Data Source=$Workbook$;Location=جدول_العملاء;Extended Properties=&quot;&quot;" command="SELECT * FROM [جدول_العملاء]"/>
  </connection>
  <connection id="2" xr16:uid="{4020ADC6-62B1-4CFE-B2F0-DAFF4957A345}" keepAlive="1" name="Query - جدول_الفروع" description="Connection to the 'جدول_الفروع' query in the workbook." type="5" refreshedVersion="8" background="1" saveData="1">
    <dbPr connection="Provider=Microsoft.Mashup.OleDb.1;Data Source=$Workbook$;Location=جدول_الفروع;Extended Properties=&quot;&quot;" command="SELECT * FROM [جدول_الفروع]"/>
  </connection>
  <connection id="3" xr16:uid="{25F3C4E1-9261-4228-B659-36EC7AB49698}" keepAlive="1" name="Query - جدول_المبيعات" description="Connection to the 'جدول_المبيعات' query in the workbook." type="5" refreshedVersion="8" background="1" saveData="1">
    <dbPr connection="Provider=Microsoft.Mashup.OleDb.1;Data Source=$Workbook$;Location=جدول_المبيعات;Extended Properties=&quot;&quot;" command="SELECT * FROM [جدول_المبيعات]"/>
  </connection>
  <connection id="4" xr16:uid="{3409742C-A380-43AC-BCD5-F81701D23AC0}" keepAlive="1" name="Query - جدول_المنتجات" description="Connection to the 'جدول_المنتجات' query in the workbook." type="5" refreshedVersion="8" background="1" saveData="1">
    <dbPr connection="Provider=Microsoft.Mashup.OleDb.1;Data Source=$Workbook$;Location=جدول_المنتجات;Extended Properties=&quot;&quot;" command="SELECT * FROM [جدول_المنتجات]"/>
  </connection>
  <connection id="5" xr16:uid="{B2467BC8-42B8-4DD8-8C51-704990C4D0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8F9EAFB-6630-4D71-A453-BEBB279D0CCE}" name="WorksheetConnection_Book1!جدول_العملاء" type="102" refreshedVersion="8" minRefreshableVersion="5">
    <extLst>
      <ext xmlns:x15="http://schemas.microsoft.com/office/spreadsheetml/2010/11/main" uri="{DE250136-89BD-433C-8126-D09CA5730AF9}">
        <x15:connection id="جدول_العملاء">
          <x15:rangePr sourceName="_xlcn.WorksheetConnection_Book1جدول_العملاء1"/>
        </x15:connection>
      </ext>
    </extLst>
  </connection>
  <connection id="7" xr16:uid="{CC3D3F43-7F0B-4B43-B98B-C0A4135A734E}" name="WorksheetConnection_Book1!جدول_الفروع" type="102" refreshedVersion="8" minRefreshableVersion="5">
    <extLst>
      <ext xmlns:x15="http://schemas.microsoft.com/office/spreadsheetml/2010/11/main" uri="{DE250136-89BD-433C-8126-D09CA5730AF9}">
        <x15:connection id="جدول_الفروع">
          <x15:rangePr sourceName="_xlcn.WorksheetConnection_Book1جدول_الفروع1"/>
        </x15:connection>
      </ext>
    </extLst>
  </connection>
  <connection id="8" xr16:uid="{E15B4F1A-D9CC-4C75-8A79-78C7F8DE75B5}" name="WorksheetConnection_Book1!جدول_المبيعات" type="102" refreshedVersion="8" minRefreshableVersion="5">
    <extLst>
      <ext xmlns:x15="http://schemas.microsoft.com/office/spreadsheetml/2010/11/main" uri="{DE250136-89BD-433C-8126-D09CA5730AF9}">
        <x15:connection id="جدول_المبيعات">
          <x15:rangePr sourceName="_xlcn.WorksheetConnection_Book1جدول_المبيعات1"/>
        </x15:connection>
      </ext>
    </extLst>
  </connection>
  <connection id="9" xr16:uid="{643459A1-7950-4C25-9F3C-B94740BD5384}" name="WorksheetConnection_Book1!جدول_المنتجات" type="102" refreshedVersion="8" minRefreshableVersion="5">
    <extLst>
      <ext xmlns:x15="http://schemas.microsoft.com/office/spreadsheetml/2010/11/main" uri="{DE250136-89BD-433C-8126-D09CA5730AF9}">
        <x15:connection id="جدول_المنتجات">
          <x15:rangePr sourceName="_xlcn.WorksheetConnection_Book1جدول_المنتجات1"/>
        </x15:connection>
      </ext>
    </extLst>
  </connection>
</connections>
</file>

<file path=xl/sharedStrings.xml><?xml version="1.0" encoding="utf-8"?>
<sst xmlns="http://schemas.openxmlformats.org/spreadsheetml/2006/main" count="319" uniqueCount="135">
  <si>
    <t>معرف_الفرع</t>
  </si>
  <si>
    <t>اسم_الفرع</t>
  </si>
  <si>
    <t>الإقليم</t>
  </si>
  <si>
    <t>S1</t>
  </si>
  <si>
    <t>فرع الناصر</t>
  </si>
  <si>
    <t>القاهرة الكبرى</t>
  </si>
  <si>
    <t>S2</t>
  </si>
  <si>
    <t>فرع التحرير</t>
  </si>
  <si>
    <t>S3</t>
  </si>
  <si>
    <t>فرع سموحة</t>
  </si>
  <si>
    <t>الإسكندرية</t>
  </si>
  <si>
    <t>S4</t>
  </si>
  <si>
    <t>فرع الجامعة</t>
  </si>
  <si>
    <t>الدلتا</t>
  </si>
  <si>
    <t>S5</t>
  </si>
  <si>
    <t>فرع السلام</t>
  </si>
  <si>
    <t>القناة</t>
  </si>
  <si>
    <t>معرف_العميل</t>
  </si>
  <si>
    <t>اسم_العميل</t>
  </si>
  <si>
    <t>القطاع</t>
  </si>
  <si>
    <t>المدينة</t>
  </si>
  <si>
    <t>C101</t>
  </si>
  <si>
    <t xml:space="preserve"> أحمد محمود </t>
  </si>
  <si>
    <t>حكومي</t>
  </si>
  <si>
    <t>طنطا</t>
  </si>
  <si>
    <t>C102</t>
  </si>
  <si>
    <t>شركة الأمل</t>
  </si>
  <si>
    <t>أفراد</t>
  </si>
  <si>
    <t>المنصورة</t>
  </si>
  <si>
    <t>C103</t>
  </si>
  <si>
    <t>سارة علي</t>
  </si>
  <si>
    <t>القاهرة</t>
  </si>
  <si>
    <t>C104</t>
  </si>
  <si>
    <t>مؤسسة النور</t>
  </si>
  <si>
    <t>C105</t>
  </si>
  <si>
    <t>محمد مصطفى</t>
  </si>
  <si>
    <t>C106</t>
  </si>
  <si>
    <t>فاطمة الزهراء</t>
  </si>
  <si>
    <t>أسيوط</t>
  </si>
  <si>
    <t>C107</t>
  </si>
  <si>
    <t>عمر الشريف</t>
  </si>
  <si>
    <t>C108</t>
  </si>
  <si>
    <t>شركة النيل</t>
  </si>
  <si>
    <t>شركات</t>
  </si>
  <si>
    <t>C109</t>
  </si>
  <si>
    <t>خالد يوسف</t>
  </si>
  <si>
    <t>C110</t>
  </si>
  <si>
    <t>مريم إبراهيم</t>
  </si>
  <si>
    <t>C111</t>
  </si>
  <si>
    <t>علي حسن</t>
  </si>
  <si>
    <t>جيزة</t>
  </si>
  <si>
    <t>C112</t>
  </si>
  <si>
    <t>شركة التقنية</t>
  </si>
  <si>
    <t>C113</t>
  </si>
  <si>
    <t>زينب عبد الله</t>
  </si>
  <si>
    <t>الزقازيق</t>
  </si>
  <si>
    <t>C114</t>
  </si>
  <si>
    <t>منى السيد</t>
  </si>
  <si>
    <t>C115</t>
  </si>
  <si>
    <t>ياسر جلال</t>
  </si>
  <si>
    <t>C116</t>
  </si>
  <si>
    <t>شركة الرواد</t>
  </si>
  <si>
    <t>C117</t>
  </si>
  <si>
    <t>حسن متولي</t>
  </si>
  <si>
    <t>C118</t>
  </si>
  <si>
    <t>نور الهدى</t>
  </si>
  <si>
    <t>C119</t>
  </si>
  <si>
    <t>طارق العوضي</t>
  </si>
  <si>
    <t>C120</t>
  </si>
  <si>
    <t>مؤسسة المستقبل</t>
  </si>
  <si>
    <t>معرف_الطلب</t>
  </si>
  <si>
    <t>تاريخ_الطلب</t>
  </si>
  <si>
    <t>معرف_المنتج</t>
  </si>
  <si>
    <t>الكمية</t>
  </si>
  <si>
    <t>سعر_الوحدة</t>
  </si>
  <si>
    <t>الإجمالي_الفرعي</t>
  </si>
  <si>
    <t>نسبة_الخصم</t>
  </si>
  <si>
    <t>قيمة_الخصم</t>
  </si>
  <si>
    <t>قيمة_الضريبة</t>
  </si>
  <si>
    <t>تكلفة_الشحن</t>
  </si>
  <si>
    <t>الإجمالي_الكلّي</t>
  </si>
  <si>
    <t>طريقة_الدفع</t>
  </si>
  <si>
    <t>حالة_الطلب</t>
  </si>
  <si>
    <t>P11</t>
  </si>
  <si>
    <t>بطاقة ائتمان</t>
  </si>
  <si>
    <t>مكتمل</t>
  </si>
  <si>
    <t>P24</t>
  </si>
  <si>
    <t>تقسيط</t>
  </si>
  <si>
    <t>ملغي</t>
  </si>
  <si>
    <t>P13</t>
  </si>
  <si>
    <t>نقداً</t>
  </si>
  <si>
    <t>P25</t>
  </si>
  <si>
    <t>P12</t>
  </si>
  <si>
    <t>محفظة إلكترونية</t>
  </si>
  <si>
    <t>P16</t>
  </si>
  <si>
    <t>نقدا</t>
  </si>
  <si>
    <t>P22</t>
  </si>
  <si>
    <t>P14</t>
  </si>
  <si>
    <t>P18</t>
  </si>
  <si>
    <t>P23</t>
  </si>
  <si>
    <t>P17</t>
  </si>
  <si>
    <t>P20</t>
  </si>
  <si>
    <t>P19</t>
  </si>
  <si>
    <t>P21</t>
  </si>
  <si>
    <t>P15</t>
  </si>
  <si>
    <t>اسم_المنتج</t>
  </si>
  <si>
    <t>الفئة</t>
  </si>
  <si>
    <t>لابتوب ديل</t>
  </si>
  <si>
    <t xml:space="preserve">ملحقات </t>
  </si>
  <si>
    <t>ماوس لاسلكي</t>
  </si>
  <si>
    <t>أثاث مكتب</t>
  </si>
  <si>
    <t>شاشة 24 بوصة</t>
  </si>
  <si>
    <t xml:space="preserve">إلكترونيات </t>
  </si>
  <si>
    <t>لوحة مفاتيح</t>
  </si>
  <si>
    <t>450 EGP</t>
  </si>
  <si>
    <t>كرسي مكتب</t>
  </si>
  <si>
    <t>طابعة ليزر</t>
  </si>
  <si>
    <t>سماعة رأس</t>
  </si>
  <si>
    <t>إلكترونيات</t>
  </si>
  <si>
    <t>مكتب خشبي</t>
  </si>
  <si>
    <t>قرص صلب خارجي</t>
  </si>
  <si>
    <t>كابل اتش دي</t>
  </si>
  <si>
    <t>حامل لابتوب</t>
  </si>
  <si>
    <t>كاميرا ويب</t>
  </si>
  <si>
    <t>ميكروفون</t>
  </si>
  <si>
    <t>ساعة ذكية</t>
  </si>
  <si>
    <t>شاحن سريع</t>
  </si>
  <si>
    <t>Sum of الإجمالي_الكلّي</t>
  </si>
  <si>
    <t>Row Labels</t>
  </si>
  <si>
    <t>Grand Total</t>
  </si>
  <si>
    <t>Column Labels</t>
  </si>
  <si>
    <t>يناير</t>
  </si>
  <si>
    <t>متوسط الربح</t>
  </si>
  <si>
    <t>ملحقات</t>
  </si>
  <si>
    <t>فبراير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</si>
</sst>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charset val="178"/>
      <scheme val="minor"/>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3" fontId="0" fillId="0" borderId="0" xfId="0" applyNumberFormat="1"/>
    <xf numFmtId="14" fontId="0" fillId="0" borderId="0" xfId="0" applyNumberFormat="1" applyAlignment="1">
      <alignment horizontal="left"/>
    </xf>
    <xf numFmtId="2"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7CA51EF9-DC59-4946-B737-9AFCFF0D842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07/relationships/slicerCache" Target="slicerCaches/slicerCache4.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5.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29636920384951"/>
          <c:y val="0.23087744240303296"/>
          <c:w val="0.46952537182852144"/>
          <c:h val="0.6293157626130067"/>
        </c:manualLayout>
      </c:layout>
      <c:barChart>
        <c:barDir val="bar"/>
        <c:grouping val="clustered"/>
        <c:varyColors val="0"/>
        <c:ser>
          <c:idx val="0"/>
          <c:order val="0"/>
          <c:tx>
            <c:strRef>
              <c:f>'Pivot Table'!$D$4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Table'!$C$5:$C$16</c:f>
              <c:strCache>
                <c:ptCount val="11"/>
                <c:pt idx="0">
                  <c:v>حامل لابتوب</c:v>
                </c:pt>
                <c:pt idx="1">
                  <c:v>كاميرا ويب</c:v>
                </c:pt>
                <c:pt idx="2">
                  <c:v>ماوس لاسلكي</c:v>
                </c:pt>
                <c:pt idx="3">
                  <c:v>سماعة رأس</c:v>
                </c:pt>
                <c:pt idx="4">
                  <c:v>شاحن سريع</c:v>
                </c:pt>
                <c:pt idx="5">
                  <c:v>ساعة ذكية</c:v>
                </c:pt>
                <c:pt idx="6">
                  <c:v>كرسي مكتب</c:v>
                </c:pt>
                <c:pt idx="7">
                  <c:v>شاشة 24 بوصة</c:v>
                </c:pt>
                <c:pt idx="8">
                  <c:v>طابعة ليزر</c:v>
                </c:pt>
                <c:pt idx="9">
                  <c:v>مكتب خشبي</c:v>
                </c:pt>
                <c:pt idx="10">
                  <c:v>لابتوب ديل</c:v>
                </c:pt>
              </c:strCache>
            </c:strRef>
          </c:cat>
          <c:val>
            <c:numRef>
              <c:f>'Pivot Table'!$D$5:$D$16</c:f>
              <c:numCache>
                <c:formatCode>0.00%</c:formatCode>
                <c:ptCount val="11"/>
                <c:pt idx="0">
                  <c:v>8.5577247031643747E-4</c:v>
                </c:pt>
                <c:pt idx="1">
                  <c:v>2.0210214503245741E-3</c:v>
                </c:pt>
                <c:pt idx="2">
                  <c:v>6.0371479733202669E-3</c:v>
                </c:pt>
                <c:pt idx="3">
                  <c:v>7.9953165077521499E-3</c:v>
                </c:pt>
                <c:pt idx="4">
                  <c:v>1.1992670757198273E-2</c:v>
                </c:pt>
                <c:pt idx="5">
                  <c:v>2.1812317849095698E-2</c:v>
                </c:pt>
                <c:pt idx="6">
                  <c:v>2.7337598363483352E-2</c:v>
                </c:pt>
                <c:pt idx="7">
                  <c:v>5.9536227561908031E-2</c:v>
                </c:pt>
                <c:pt idx="8">
                  <c:v>0.10642891088208938</c:v>
                </c:pt>
                <c:pt idx="9">
                  <c:v>0.23596823852917184</c:v>
                </c:pt>
                <c:pt idx="10">
                  <c:v>0.52001477765533999</c:v>
                </c:pt>
              </c:numCache>
            </c:numRef>
          </c:val>
          <c:extLst>
            <c:ext xmlns:c16="http://schemas.microsoft.com/office/drawing/2014/chart" uri="{C3380CC4-5D6E-409C-BE32-E72D297353CC}">
              <c16:uniqueId val="{00000000-FFDD-44C5-BF45-0E1638B0D6C5}"/>
            </c:ext>
          </c:extLst>
        </c:ser>
        <c:dLbls>
          <c:dLblPos val="outEnd"/>
          <c:showLegendKey val="0"/>
          <c:showVal val="1"/>
          <c:showCatName val="0"/>
          <c:showSerName val="0"/>
          <c:showPercent val="0"/>
          <c:showBubbleSize val="0"/>
        </c:dLbls>
        <c:gapWidth val="182"/>
        <c:axId val="1933947567"/>
        <c:axId val="1907240799"/>
      </c:barChart>
      <c:catAx>
        <c:axId val="1933947567"/>
        <c:scaling>
          <c:orientation val="minMax"/>
        </c:scaling>
        <c:delete val="1"/>
        <c:axPos val="r"/>
        <c:numFmt formatCode="General" sourceLinked="1"/>
        <c:majorTickMark val="none"/>
        <c:minorTickMark val="none"/>
        <c:tickLblPos val="nextTo"/>
        <c:crossAx val="1907240799"/>
        <c:crosses val="autoZero"/>
        <c:auto val="1"/>
        <c:lblAlgn val="ctr"/>
        <c:lblOffset val="100"/>
        <c:noMultiLvlLbl val="0"/>
      </c:catAx>
      <c:valAx>
        <c:axId val="1907240799"/>
        <c:scaling>
          <c:orientation val="maxMin"/>
        </c:scaling>
        <c:delete val="1"/>
        <c:axPos val="b"/>
        <c:numFmt formatCode="0.00%" sourceLinked="1"/>
        <c:majorTickMark val="none"/>
        <c:minorTickMark val="none"/>
        <c:tickLblPos val="nextTo"/>
        <c:crossAx val="193394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4E-40FA-83A1-E4E686D39E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4E-40FA-83A1-E4E686D39E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4E-40FA-83A1-E4E686D39E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4E-40FA-83A1-E4E686D39E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ED-4334-9E0C-362126F490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Table'!$O$3:$O$8</c:f>
              <c:strCache>
                <c:ptCount val="5"/>
                <c:pt idx="0">
                  <c:v>محفظة إلكترونية</c:v>
                </c:pt>
                <c:pt idx="1">
                  <c:v>تقسيط</c:v>
                </c:pt>
                <c:pt idx="2">
                  <c:v>نقدا</c:v>
                </c:pt>
                <c:pt idx="3">
                  <c:v>نقداً</c:v>
                </c:pt>
                <c:pt idx="4">
                  <c:v>بطاقة ائتمان</c:v>
                </c:pt>
              </c:strCache>
            </c:strRef>
          </c:cat>
          <c:val>
            <c:numRef>
              <c:f>'Pivot Table'!$P$3:$P$8</c:f>
              <c:numCache>
                <c:formatCode>0.00%</c:formatCode>
                <c:ptCount val="5"/>
                <c:pt idx="0">
                  <c:v>1.6980699442752281E-2</c:v>
                </c:pt>
                <c:pt idx="1">
                  <c:v>2.7106859001149366E-2</c:v>
                </c:pt>
                <c:pt idx="2">
                  <c:v>0.14806231756409155</c:v>
                </c:pt>
                <c:pt idx="3">
                  <c:v>0.25608269163698255</c:v>
                </c:pt>
                <c:pt idx="4">
                  <c:v>0.55176743235502423</c:v>
                </c:pt>
              </c:numCache>
            </c:numRef>
          </c:val>
          <c:extLst>
            <c:ext xmlns:c16="http://schemas.microsoft.com/office/drawing/2014/chart" uri="{C3380CC4-5D6E-409C-BE32-E72D297353CC}">
              <c16:uniqueId val="{00000000-0A46-4486-A47D-AB8E232309F4}"/>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Table'!$AA$4</c:f>
              <c:strCache>
                <c:ptCount val="1"/>
                <c:pt idx="0">
                  <c:v>Total</c:v>
                </c:pt>
              </c:strCache>
            </c:strRef>
          </c:tx>
          <c:spPr>
            <a:solidFill>
              <a:schemeClr val="accent1"/>
            </a:solidFill>
            <a:ln>
              <a:noFill/>
            </a:ln>
            <a:effectLst/>
          </c:spPr>
          <c:invertIfNegative val="0"/>
          <c:cat>
            <c:strRef>
              <c:f>'Pivot Table'!$Z$5:$Z$8</c:f>
              <c:strCache>
                <c:ptCount val="3"/>
                <c:pt idx="0">
                  <c:v>أثاث مكتب</c:v>
                </c:pt>
                <c:pt idx="1">
                  <c:v>إلكترونيات</c:v>
                </c:pt>
                <c:pt idx="2">
                  <c:v>ملحقات</c:v>
                </c:pt>
              </c:strCache>
            </c:strRef>
          </c:cat>
          <c:val>
            <c:numRef>
              <c:f>'Pivot Table'!$AA$5:$AA$8</c:f>
              <c:numCache>
                <c:formatCode>0.00%</c:formatCode>
                <c:ptCount val="3"/>
                <c:pt idx="0">
                  <c:v>0.26467347682190423</c:v>
                </c:pt>
                <c:pt idx="1">
                  <c:v>0.20331907476555749</c:v>
                </c:pt>
                <c:pt idx="2">
                  <c:v>0.53200744841253822</c:v>
                </c:pt>
              </c:numCache>
            </c:numRef>
          </c:val>
          <c:extLst>
            <c:ext xmlns:c16="http://schemas.microsoft.com/office/drawing/2014/chart" uri="{C3380CC4-5D6E-409C-BE32-E72D297353CC}">
              <c16:uniqueId val="{00000000-2E04-4388-8236-CC5D3B96D5AD}"/>
            </c:ext>
          </c:extLst>
        </c:ser>
        <c:dLbls>
          <c:showLegendKey val="0"/>
          <c:showVal val="0"/>
          <c:showCatName val="0"/>
          <c:showSerName val="0"/>
          <c:showPercent val="0"/>
          <c:showBubbleSize val="0"/>
        </c:dLbls>
        <c:gapWidth val="219"/>
        <c:overlap val="-27"/>
        <c:axId val="1934014383"/>
        <c:axId val="1907259039"/>
      </c:barChart>
      <c:catAx>
        <c:axId val="1934014383"/>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59039"/>
        <c:crosses val="autoZero"/>
        <c:auto val="1"/>
        <c:lblAlgn val="ctr"/>
        <c:lblOffset val="100"/>
        <c:noMultiLvlLbl val="0"/>
      </c:catAx>
      <c:valAx>
        <c:axId val="1907259039"/>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14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Table'!$AJ$4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Table'!$AI$5:$AI$10</c:f>
              <c:strCache>
                <c:ptCount val="5"/>
                <c:pt idx="0">
                  <c:v>فرع الجامعة</c:v>
                </c:pt>
                <c:pt idx="1">
                  <c:v>فرع سموحة</c:v>
                </c:pt>
                <c:pt idx="2">
                  <c:v>فرع التحرير</c:v>
                </c:pt>
                <c:pt idx="3">
                  <c:v>فرع السلام</c:v>
                </c:pt>
                <c:pt idx="4">
                  <c:v>فرع الناصر</c:v>
                </c:pt>
              </c:strCache>
            </c:strRef>
          </c:cat>
          <c:val>
            <c:numRef>
              <c:f>'Pivot Table'!$AJ$5:$AJ$10</c:f>
              <c:numCache>
                <c:formatCode>0.00%</c:formatCode>
                <c:ptCount val="5"/>
                <c:pt idx="0">
                  <c:v>4.9614434981546544E-2</c:v>
                </c:pt>
                <c:pt idx="1">
                  <c:v>7.123401402205233E-2</c:v>
                </c:pt>
                <c:pt idx="2">
                  <c:v>0.12030633310388598</c:v>
                </c:pt>
                <c:pt idx="3">
                  <c:v>0.19883409741046745</c:v>
                </c:pt>
                <c:pt idx="4">
                  <c:v>0.5600111204820476</c:v>
                </c:pt>
              </c:numCache>
            </c:numRef>
          </c:val>
          <c:extLst>
            <c:ext xmlns:c16="http://schemas.microsoft.com/office/drawing/2014/chart" uri="{C3380CC4-5D6E-409C-BE32-E72D297353CC}">
              <c16:uniqueId val="{00000000-9D6C-42C7-95CB-93AC82A518E1}"/>
            </c:ext>
          </c:extLst>
        </c:ser>
        <c:dLbls>
          <c:showLegendKey val="0"/>
          <c:showVal val="1"/>
          <c:showCatName val="0"/>
          <c:showSerName val="0"/>
          <c:showPercent val="0"/>
          <c:showBubbleSize val="0"/>
        </c:dLbls>
        <c:gapWidth val="150"/>
        <c:shape val="box"/>
        <c:axId val="1934060319"/>
        <c:axId val="1743067999"/>
        <c:axId val="953337935"/>
      </c:bar3DChart>
      <c:catAx>
        <c:axId val="1934060319"/>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67999"/>
        <c:crosses val="autoZero"/>
        <c:auto val="1"/>
        <c:lblAlgn val="ctr"/>
        <c:lblOffset val="100"/>
        <c:noMultiLvlLbl val="0"/>
      </c:catAx>
      <c:valAx>
        <c:axId val="174306799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60319"/>
        <c:crosses val="autoZero"/>
        <c:crossBetween val="between"/>
      </c:valAx>
      <c:serAx>
        <c:axId val="95333793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679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Table!PivotTable5</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Raigan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Table'!$AU$3:$AU$7</c:f>
              <c:strCache>
                <c:ptCount val="4"/>
                <c:pt idx="0">
                  <c:v>الدلتا</c:v>
                </c:pt>
                <c:pt idx="1">
                  <c:v>الإسكندرية</c:v>
                </c:pt>
                <c:pt idx="2">
                  <c:v>القناة</c:v>
                </c:pt>
                <c:pt idx="3">
                  <c:v>القاهرة الكبرى</c:v>
                </c:pt>
              </c:strCache>
            </c:strRef>
          </c:cat>
          <c:val>
            <c:numRef>
              <c:f>'Pivot Table'!$AV$3:$AV$7</c:f>
              <c:numCache>
                <c:formatCode>0.00%</c:formatCode>
                <c:ptCount val="4"/>
                <c:pt idx="0">
                  <c:v>4.9614434981546544E-2</c:v>
                </c:pt>
                <c:pt idx="1">
                  <c:v>7.123401402205233E-2</c:v>
                </c:pt>
                <c:pt idx="2">
                  <c:v>0.19883409741046745</c:v>
                </c:pt>
                <c:pt idx="3">
                  <c:v>0.68031745358593365</c:v>
                </c:pt>
              </c:numCache>
            </c:numRef>
          </c:val>
          <c:extLst>
            <c:ext xmlns:c16="http://schemas.microsoft.com/office/drawing/2014/chart" uri="{C3380CC4-5D6E-409C-BE32-E72D297353CC}">
              <c16:uniqueId val="{00000000-A3B8-4499-83B2-01C4D67D90A5}"/>
            </c:ext>
          </c:extLst>
        </c:ser>
        <c:dLbls>
          <c:dLblPos val="outEnd"/>
          <c:showLegendKey val="0"/>
          <c:showVal val="1"/>
          <c:showCatName val="0"/>
          <c:showSerName val="0"/>
          <c:showPercent val="0"/>
          <c:showBubbleSize val="0"/>
        </c:dLbls>
        <c:gapWidth val="219"/>
        <c:overlap val="-27"/>
        <c:axId val="914062255"/>
        <c:axId val="1907248959"/>
      </c:barChart>
      <c:catAx>
        <c:axId val="914062255"/>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48959"/>
        <c:crosses val="autoZero"/>
        <c:auto val="1"/>
        <c:lblAlgn val="ctr"/>
        <c:lblOffset val="100"/>
        <c:noMultiLvlLbl val="0"/>
      </c:catAx>
      <c:valAx>
        <c:axId val="19072489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06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Table'!$BS$3:$BS$4</c:f>
              <c:strCache>
                <c:ptCount val="1"/>
                <c:pt idx="0">
                  <c:v>يناير</c:v>
                </c:pt>
              </c:strCache>
            </c:strRef>
          </c:tx>
          <c:spPr>
            <a:ln w="28575" cap="rnd">
              <a:solidFill>
                <a:schemeClr val="accent1"/>
              </a:solidFill>
              <a:round/>
            </a:ln>
            <a:effectLst/>
          </c:spPr>
          <c:marker>
            <c:symbol val="none"/>
          </c:marker>
          <c:cat>
            <c:strRef>
              <c:f>'Pivot Table'!$BR$5:$BR$21</c:f>
              <c:strCache>
                <c:ptCount val="16"/>
                <c:pt idx="0">
                  <c:v>01/01/2025</c:v>
                </c:pt>
                <c:pt idx="1">
                  <c:v>02/01/2025</c:v>
                </c:pt>
                <c:pt idx="2">
                  <c:v>03/01/2025</c:v>
                </c:pt>
                <c:pt idx="3">
                  <c:v>04/01/2025</c:v>
                </c:pt>
                <c:pt idx="4">
                  <c:v>05/01/2025</c:v>
                </c:pt>
                <c:pt idx="5">
                  <c:v>06/01/2025</c:v>
                </c:pt>
                <c:pt idx="6">
                  <c:v>07/01/2025</c:v>
                </c:pt>
                <c:pt idx="7">
                  <c:v>08/01/2025</c:v>
                </c:pt>
                <c:pt idx="8">
                  <c:v>12/01/2025</c:v>
                </c:pt>
                <c:pt idx="9">
                  <c:v>13/01/2025</c:v>
                </c:pt>
                <c:pt idx="10">
                  <c:v>18/01/2025</c:v>
                </c:pt>
                <c:pt idx="11">
                  <c:v>21/01/2025</c:v>
                </c:pt>
                <c:pt idx="12">
                  <c:v>25/01/2025</c:v>
                </c:pt>
                <c:pt idx="13">
                  <c:v>29/01/2025</c:v>
                </c:pt>
                <c:pt idx="14">
                  <c:v>30/01/2025</c:v>
                </c:pt>
                <c:pt idx="15">
                  <c:v>02/02/2025</c:v>
                </c:pt>
              </c:strCache>
            </c:strRef>
          </c:cat>
          <c:val>
            <c:numRef>
              <c:f>'Pivot Table'!$BS$5:$BS$21</c:f>
              <c:numCache>
                <c:formatCode>General</c:formatCode>
                <c:ptCount val="16"/>
                <c:pt idx="0">
                  <c:v>116980</c:v>
                </c:pt>
                <c:pt idx="1">
                  <c:v>15946.2</c:v>
                </c:pt>
                <c:pt idx="2">
                  <c:v>1383.75</c:v>
                </c:pt>
                <c:pt idx="3">
                  <c:v>66213</c:v>
                </c:pt>
                <c:pt idx="4">
                  <c:v>240809.60000000001</c:v>
                </c:pt>
                <c:pt idx="5">
                  <c:v>1113</c:v>
                </c:pt>
                <c:pt idx="6">
                  <c:v>5280</c:v>
                </c:pt>
                <c:pt idx="7">
                  <c:v>3178</c:v>
                </c:pt>
                <c:pt idx="8">
                  <c:v>392</c:v>
                </c:pt>
                <c:pt idx="9">
                  <c:v>26142</c:v>
                </c:pt>
                <c:pt idx="10">
                  <c:v>4868</c:v>
                </c:pt>
                <c:pt idx="11">
                  <c:v>127830</c:v>
                </c:pt>
                <c:pt idx="12">
                  <c:v>563</c:v>
                </c:pt>
                <c:pt idx="13">
                  <c:v>1791.6</c:v>
                </c:pt>
                <c:pt idx="14">
                  <c:v>17985</c:v>
                </c:pt>
              </c:numCache>
            </c:numRef>
          </c:val>
          <c:smooth val="0"/>
          <c:extLst>
            <c:ext xmlns:c16="http://schemas.microsoft.com/office/drawing/2014/chart" uri="{C3380CC4-5D6E-409C-BE32-E72D297353CC}">
              <c16:uniqueId val="{00000000-1AF3-4A41-9BDC-4CA0D6A358D0}"/>
            </c:ext>
          </c:extLst>
        </c:ser>
        <c:ser>
          <c:idx val="1"/>
          <c:order val="1"/>
          <c:tx>
            <c:strRef>
              <c:f>'Pivot Table'!$BT$3:$BT$4</c:f>
              <c:strCache>
                <c:ptCount val="1"/>
                <c:pt idx="0">
                  <c:v>فبراير</c:v>
                </c:pt>
              </c:strCache>
            </c:strRef>
          </c:tx>
          <c:spPr>
            <a:ln w="28575" cap="rnd">
              <a:solidFill>
                <a:schemeClr val="accent2"/>
              </a:solidFill>
              <a:round/>
            </a:ln>
            <a:effectLst/>
          </c:spPr>
          <c:marker>
            <c:symbol val="none"/>
          </c:marker>
          <c:cat>
            <c:strRef>
              <c:f>'Pivot Table'!$BR$5:$BR$21</c:f>
              <c:strCache>
                <c:ptCount val="16"/>
                <c:pt idx="0">
                  <c:v>01/01/2025</c:v>
                </c:pt>
                <c:pt idx="1">
                  <c:v>02/01/2025</c:v>
                </c:pt>
                <c:pt idx="2">
                  <c:v>03/01/2025</c:v>
                </c:pt>
                <c:pt idx="3">
                  <c:v>04/01/2025</c:v>
                </c:pt>
                <c:pt idx="4">
                  <c:v>05/01/2025</c:v>
                </c:pt>
                <c:pt idx="5">
                  <c:v>06/01/2025</c:v>
                </c:pt>
                <c:pt idx="6">
                  <c:v>07/01/2025</c:v>
                </c:pt>
                <c:pt idx="7">
                  <c:v>08/01/2025</c:v>
                </c:pt>
                <c:pt idx="8">
                  <c:v>12/01/2025</c:v>
                </c:pt>
                <c:pt idx="9">
                  <c:v>13/01/2025</c:v>
                </c:pt>
                <c:pt idx="10">
                  <c:v>18/01/2025</c:v>
                </c:pt>
                <c:pt idx="11">
                  <c:v>21/01/2025</c:v>
                </c:pt>
                <c:pt idx="12">
                  <c:v>25/01/2025</c:v>
                </c:pt>
                <c:pt idx="13">
                  <c:v>29/01/2025</c:v>
                </c:pt>
                <c:pt idx="14">
                  <c:v>30/01/2025</c:v>
                </c:pt>
                <c:pt idx="15">
                  <c:v>02/02/2025</c:v>
                </c:pt>
              </c:strCache>
            </c:strRef>
          </c:cat>
          <c:val>
            <c:numRef>
              <c:f>'Pivot Table'!$BT$5:$BT$21</c:f>
              <c:numCache>
                <c:formatCode>General</c:formatCode>
                <c:ptCount val="16"/>
                <c:pt idx="15">
                  <c:v>27410</c:v>
                </c:pt>
              </c:numCache>
            </c:numRef>
          </c:val>
          <c:smooth val="0"/>
          <c:extLst>
            <c:ext xmlns:c16="http://schemas.microsoft.com/office/drawing/2014/chart" uri="{C3380CC4-5D6E-409C-BE32-E72D297353CC}">
              <c16:uniqueId val="{00000000-346C-4BFA-ACF8-37A06F1B45B4}"/>
            </c:ext>
          </c:extLst>
        </c:ser>
        <c:dLbls>
          <c:showLegendKey val="0"/>
          <c:showVal val="0"/>
          <c:showCatName val="0"/>
          <c:showSerName val="0"/>
          <c:showPercent val="0"/>
          <c:showBubbleSize val="0"/>
        </c:dLbls>
        <c:smooth val="0"/>
        <c:axId val="1933948495"/>
        <c:axId val="1907270079"/>
      </c:lineChart>
      <c:catAx>
        <c:axId val="1933948495"/>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70079"/>
        <c:crosses val="autoZero"/>
        <c:auto val="1"/>
        <c:lblAlgn val="ctr"/>
        <c:lblOffset val="100"/>
        <c:noMultiLvlLbl val="0"/>
      </c:catAx>
      <c:valAx>
        <c:axId val="190727007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94849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62970253718292"/>
          <c:y val="0.2401367016622922"/>
          <c:w val="0.46952537182852144"/>
          <c:h val="0.6293157626130067"/>
        </c:manualLayout>
      </c:layout>
      <c:barChart>
        <c:barDir val="bar"/>
        <c:grouping val="clustered"/>
        <c:varyColors val="0"/>
        <c:ser>
          <c:idx val="0"/>
          <c:order val="0"/>
          <c:tx>
            <c:strRef>
              <c:f>'Pivot Table'!$D$4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Table'!$C$5:$C$16</c:f>
              <c:strCache>
                <c:ptCount val="11"/>
                <c:pt idx="0">
                  <c:v>حامل لابتوب</c:v>
                </c:pt>
                <c:pt idx="1">
                  <c:v>كاميرا ويب</c:v>
                </c:pt>
                <c:pt idx="2">
                  <c:v>ماوس لاسلكي</c:v>
                </c:pt>
                <c:pt idx="3">
                  <c:v>سماعة رأس</c:v>
                </c:pt>
                <c:pt idx="4">
                  <c:v>شاحن سريع</c:v>
                </c:pt>
                <c:pt idx="5">
                  <c:v>ساعة ذكية</c:v>
                </c:pt>
                <c:pt idx="6">
                  <c:v>كرسي مكتب</c:v>
                </c:pt>
                <c:pt idx="7">
                  <c:v>شاشة 24 بوصة</c:v>
                </c:pt>
                <c:pt idx="8">
                  <c:v>طابعة ليزر</c:v>
                </c:pt>
                <c:pt idx="9">
                  <c:v>مكتب خشبي</c:v>
                </c:pt>
                <c:pt idx="10">
                  <c:v>لابتوب ديل</c:v>
                </c:pt>
              </c:strCache>
            </c:strRef>
          </c:cat>
          <c:val>
            <c:numRef>
              <c:f>'Pivot Table'!$D$5:$D$16</c:f>
              <c:numCache>
                <c:formatCode>0.00%</c:formatCode>
                <c:ptCount val="11"/>
                <c:pt idx="0">
                  <c:v>8.5577247031643747E-4</c:v>
                </c:pt>
                <c:pt idx="1">
                  <c:v>2.0210214503245741E-3</c:v>
                </c:pt>
                <c:pt idx="2">
                  <c:v>6.0371479733202669E-3</c:v>
                </c:pt>
                <c:pt idx="3">
                  <c:v>7.9953165077521499E-3</c:v>
                </c:pt>
                <c:pt idx="4">
                  <c:v>1.1992670757198273E-2</c:v>
                </c:pt>
                <c:pt idx="5">
                  <c:v>2.1812317849095698E-2</c:v>
                </c:pt>
                <c:pt idx="6">
                  <c:v>2.7337598363483352E-2</c:v>
                </c:pt>
                <c:pt idx="7">
                  <c:v>5.9536227561908031E-2</c:v>
                </c:pt>
                <c:pt idx="8">
                  <c:v>0.10642891088208938</c:v>
                </c:pt>
                <c:pt idx="9">
                  <c:v>0.23596823852917184</c:v>
                </c:pt>
                <c:pt idx="10">
                  <c:v>0.52001477765533999</c:v>
                </c:pt>
              </c:numCache>
            </c:numRef>
          </c:val>
          <c:extLst>
            <c:ext xmlns:c16="http://schemas.microsoft.com/office/drawing/2014/chart" uri="{C3380CC4-5D6E-409C-BE32-E72D297353CC}">
              <c16:uniqueId val="{00000000-73B4-41A1-A51A-1B9B12FBCB5C}"/>
            </c:ext>
          </c:extLst>
        </c:ser>
        <c:dLbls>
          <c:dLblPos val="outEnd"/>
          <c:showLegendKey val="0"/>
          <c:showVal val="1"/>
          <c:showCatName val="0"/>
          <c:showSerName val="0"/>
          <c:showPercent val="0"/>
          <c:showBubbleSize val="0"/>
        </c:dLbls>
        <c:gapWidth val="182"/>
        <c:axId val="1933947567"/>
        <c:axId val="1907240799"/>
      </c:barChart>
      <c:catAx>
        <c:axId val="1933947567"/>
        <c:scaling>
          <c:orientation val="minMax"/>
        </c:scaling>
        <c:delete val="1"/>
        <c:axPos val="r"/>
        <c:numFmt formatCode="General" sourceLinked="1"/>
        <c:majorTickMark val="none"/>
        <c:minorTickMark val="none"/>
        <c:tickLblPos val="nextTo"/>
        <c:crossAx val="1907240799"/>
        <c:crosses val="autoZero"/>
        <c:auto val="1"/>
        <c:lblAlgn val="ctr"/>
        <c:lblOffset val="100"/>
        <c:noMultiLvlLbl val="0"/>
      </c:catAx>
      <c:valAx>
        <c:axId val="1907240799"/>
        <c:scaling>
          <c:orientation val="maxMin"/>
        </c:scaling>
        <c:delete val="1"/>
        <c:axPos val="b"/>
        <c:numFmt formatCode="0.00%" sourceLinked="1"/>
        <c:majorTickMark val="none"/>
        <c:minorTickMark val="none"/>
        <c:tickLblPos val="nextTo"/>
        <c:crossAx val="193394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Payment method</a:t>
            </a:r>
            <a:endParaRPr lang="en-US"/>
          </a:p>
        </c:rich>
      </c:tx>
      <c:layout>
        <c:manualLayout>
          <c:xMode val="edge"/>
          <c:yMode val="edge"/>
          <c:x val="0.1958000000000000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51-4245-9264-9379F8418C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51-4245-9264-9379F8418C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51-4245-9264-9379F8418C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51-4245-9264-9379F8418C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51-4245-9264-9379F8418C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Table'!$O$3:$O$8</c:f>
              <c:strCache>
                <c:ptCount val="5"/>
                <c:pt idx="0">
                  <c:v>محفظة إلكترونية</c:v>
                </c:pt>
                <c:pt idx="1">
                  <c:v>تقسيط</c:v>
                </c:pt>
                <c:pt idx="2">
                  <c:v>نقدا</c:v>
                </c:pt>
                <c:pt idx="3">
                  <c:v>نقداً</c:v>
                </c:pt>
                <c:pt idx="4">
                  <c:v>بطاقة ائتمان</c:v>
                </c:pt>
              </c:strCache>
            </c:strRef>
          </c:cat>
          <c:val>
            <c:numRef>
              <c:f>'Pivot Table'!$P$3:$P$8</c:f>
              <c:numCache>
                <c:formatCode>0.00%</c:formatCode>
                <c:ptCount val="5"/>
                <c:pt idx="0">
                  <c:v>1.6980699442752281E-2</c:v>
                </c:pt>
                <c:pt idx="1">
                  <c:v>2.7106859001149366E-2</c:v>
                </c:pt>
                <c:pt idx="2">
                  <c:v>0.14806231756409155</c:v>
                </c:pt>
                <c:pt idx="3">
                  <c:v>0.25608269163698255</c:v>
                </c:pt>
                <c:pt idx="4">
                  <c:v>0.55176743235502423</c:v>
                </c:pt>
              </c:numCache>
            </c:numRef>
          </c:val>
          <c:extLst>
            <c:ext xmlns:c16="http://schemas.microsoft.com/office/drawing/2014/chart" uri="{C3380CC4-5D6E-409C-BE32-E72D297353CC}">
              <c16:uniqueId val="{0000000A-3451-4245-9264-9379F8418C49}"/>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Table'!$AA$4</c:f>
              <c:strCache>
                <c:ptCount val="1"/>
                <c:pt idx="0">
                  <c:v>Total</c:v>
                </c:pt>
              </c:strCache>
            </c:strRef>
          </c:tx>
          <c:spPr>
            <a:solidFill>
              <a:schemeClr val="accent1"/>
            </a:solidFill>
            <a:ln>
              <a:noFill/>
            </a:ln>
            <a:effectLst/>
          </c:spPr>
          <c:invertIfNegative val="0"/>
          <c:cat>
            <c:strRef>
              <c:f>'Pivot Table'!$Z$5:$Z$8</c:f>
              <c:strCache>
                <c:ptCount val="3"/>
                <c:pt idx="0">
                  <c:v>أثاث مكتب</c:v>
                </c:pt>
                <c:pt idx="1">
                  <c:v>إلكترونيات</c:v>
                </c:pt>
                <c:pt idx="2">
                  <c:v>ملحقات</c:v>
                </c:pt>
              </c:strCache>
            </c:strRef>
          </c:cat>
          <c:val>
            <c:numRef>
              <c:f>'Pivot Table'!$AA$5:$AA$8</c:f>
              <c:numCache>
                <c:formatCode>0.00%</c:formatCode>
                <c:ptCount val="3"/>
                <c:pt idx="0">
                  <c:v>0.26467347682190423</c:v>
                </c:pt>
                <c:pt idx="1">
                  <c:v>0.20331907476555749</c:v>
                </c:pt>
                <c:pt idx="2">
                  <c:v>0.53200744841253822</c:v>
                </c:pt>
              </c:numCache>
            </c:numRef>
          </c:val>
          <c:extLst>
            <c:ext xmlns:c16="http://schemas.microsoft.com/office/drawing/2014/chart" uri="{C3380CC4-5D6E-409C-BE32-E72D297353CC}">
              <c16:uniqueId val="{00000000-72F0-497E-A4BD-4A74A8AA50E0}"/>
            </c:ext>
          </c:extLst>
        </c:ser>
        <c:dLbls>
          <c:showLegendKey val="0"/>
          <c:showVal val="0"/>
          <c:showCatName val="0"/>
          <c:showSerName val="0"/>
          <c:showPercent val="0"/>
          <c:showBubbleSize val="0"/>
        </c:dLbls>
        <c:gapWidth val="219"/>
        <c:overlap val="-27"/>
        <c:axId val="1934014383"/>
        <c:axId val="1907259039"/>
      </c:barChart>
      <c:catAx>
        <c:axId val="1934014383"/>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59039"/>
        <c:crosses val="autoZero"/>
        <c:auto val="1"/>
        <c:lblAlgn val="ctr"/>
        <c:lblOffset val="100"/>
        <c:noMultiLvlLbl val="0"/>
      </c:catAx>
      <c:valAx>
        <c:axId val="1907259039"/>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14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Table'!$AJ$4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Table'!$AI$5:$AI$10</c:f>
              <c:strCache>
                <c:ptCount val="5"/>
                <c:pt idx="0">
                  <c:v>فرع الجامعة</c:v>
                </c:pt>
                <c:pt idx="1">
                  <c:v>فرع سموحة</c:v>
                </c:pt>
                <c:pt idx="2">
                  <c:v>فرع التحرير</c:v>
                </c:pt>
                <c:pt idx="3">
                  <c:v>فرع السلام</c:v>
                </c:pt>
                <c:pt idx="4">
                  <c:v>فرع الناصر</c:v>
                </c:pt>
              </c:strCache>
            </c:strRef>
          </c:cat>
          <c:val>
            <c:numRef>
              <c:f>'Pivot Table'!$AJ$5:$AJ$10</c:f>
              <c:numCache>
                <c:formatCode>0.00%</c:formatCode>
                <c:ptCount val="5"/>
                <c:pt idx="0">
                  <c:v>4.9614434981546544E-2</c:v>
                </c:pt>
                <c:pt idx="1">
                  <c:v>7.123401402205233E-2</c:v>
                </c:pt>
                <c:pt idx="2">
                  <c:v>0.12030633310388598</c:v>
                </c:pt>
                <c:pt idx="3">
                  <c:v>0.19883409741046745</c:v>
                </c:pt>
                <c:pt idx="4">
                  <c:v>0.5600111204820476</c:v>
                </c:pt>
              </c:numCache>
            </c:numRef>
          </c:val>
          <c:extLst>
            <c:ext xmlns:c16="http://schemas.microsoft.com/office/drawing/2014/chart" uri="{C3380CC4-5D6E-409C-BE32-E72D297353CC}">
              <c16:uniqueId val="{00000000-BA92-4D27-864D-E08A2C3372BD}"/>
            </c:ext>
          </c:extLst>
        </c:ser>
        <c:dLbls>
          <c:showLegendKey val="0"/>
          <c:showVal val="1"/>
          <c:showCatName val="0"/>
          <c:showSerName val="0"/>
          <c:showPercent val="0"/>
          <c:showBubbleSize val="0"/>
        </c:dLbls>
        <c:gapWidth val="150"/>
        <c:shape val="box"/>
        <c:axId val="1934060319"/>
        <c:axId val="1743067999"/>
        <c:axId val="953337935"/>
      </c:bar3DChart>
      <c:catAx>
        <c:axId val="1934060319"/>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67999"/>
        <c:crosses val="autoZero"/>
        <c:auto val="1"/>
        <c:lblAlgn val="ctr"/>
        <c:lblOffset val="100"/>
        <c:noMultiLvlLbl val="0"/>
      </c:catAx>
      <c:valAx>
        <c:axId val="174306799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060319"/>
        <c:crosses val="autoZero"/>
        <c:crossBetween val="between"/>
      </c:valAx>
      <c:serAx>
        <c:axId val="95333793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679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Table!PivotTable5</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Raigan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8151260504202E-2"/>
          <c:y val="0.25134796238244517"/>
          <c:w val="0.82254059419043213"/>
          <c:h val="0.50202009231604672"/>
        </c:manualLayout>
      </c:layout>
      <c:barChart>
        <c:barDir val="col"/>
        <c:grouping val="clustered"/>
        <c:varyColors val="0"/>
        <c:ser>
          <c:idx val="0"/>
          <c:order val="0"/>
          <c:tx>
            <c:strRef>
              <c:f>'Pivot Table'!$AV$2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Table'!$AU$3:$AU$7</c:f>
              <c:strCache>
                <c:ptCount val="4"/>
                <c:pt idx="0">
                  <c:v>الدلتا</c:v>
                </c:pt>
                <c:pt idx="1">
                  <c:v>الإسكندرية</c:v>
                </c:pt>
                <c:pt idx="2">
                  <c:v>القناة</c:v>
                </c:pt>
                <c:pt idx="3">
                  <c:v>القاهرة الكبرى</c:v>
                </c:pt>
              </c:strCache>
            </c:strRef>
          </c:cat>
          <c:val>
            <c:numRef>
              <c:f>'Pivot Table'!$AV$3:$AV$7</c:f>
              <c:numCache>
                <c:formatCode>0.00%</c:formatCode>
                <c:ptCount val="4"/>
                <c:pt idx="0">
                  <c:v>4.9614434981546544E-2</c:v>
                </c:pt>
                <c:pt idx="1">
                  <c:v>7.123401402205233E-2</c:v>
                </c:pt>
                <c:pt idx="2">
                  <c:v>0.19883409741046745</c:v>
                </c:pt>
                <c:pt idx="3">
                  <c:v>0.68031745358593365</c:v>
                </c:pt>
              </c:numCache>
            </c:numRef>
          </c:val>
          <c:extLst>
            <c:ext xmlns:c16="http://schemas.microsoft.com/office/drawing/2014/chart" uri="{C3380CC4-5D6E-409C-BE32-E72D297353CC}">
              <c16:uniqueId val="{00000000-9231-43EB-8519-8594AA311AC2}"/>
            </c:ext>
          </c:extLst>
        </c:ser>
        <c:dLbls>
          <c:dLblPos val="outEnd"/>
          <c:showLegendKey val="0"/>
          <c:showVal val="1"/>
          <c:showCatName val="0"/>
          <c:showSerName val="0"/>
          <c:showPercent val="0"/>
          <c:showBubbleSize val="0"/>
        </c:dLbls>
        <c:gapWidth val="219"/>
        <c:overlap val="-27"/>
        <c:axId val="914062255"/>
        <c:axId val="1907248959"/>
      </c:barChart>
      <c:catAx>
        <c:axId val="914062255"/>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48959"/>
        <c:crosses val="autoZero"/>
        <c:auto val="1"/>
        <c:lblAlgn val="ctr"/>
        <c:lblOffset val="100"/>
        <c:noMultiLvlLbl val="0"/>
      </c:catAx>
      <c:valAx>
        <c:axId val="19072489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06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[Project_Data_Analysis.xlsx]Pivot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Table'!$BS$3:$BS$4</c:f>
              <c:strCache>
                <c:ptCount val="1"/>
                <c:pt idx="0">
                  <c:v>يناير</c:v>
                </c:pt>
              </c:strCache>
            </c:strRef>
          </c:tx>
          <c:spPr>
            <a:ln w="28575" cap="rnd">
              <a:solidFill>
                <a:schemeClr val="accent1"/>
              </a:solidFill>
              <a:round/>
            </a:ln>
            <a:effectLst/>
          </c:spPr>
          <c:marker>
            <c:symbol val="none"/>
          </c:marker>
          <c:cat>
            <c:strRef>
              <c:f>'Pivot Table'!$BR$5:$BR$21</c:f>
              <c:strCache>
                <c:ptCount val="16"/>
                <c:pt idx="0">
                  <c:v>01/01/2025</c:v>
                </c:pt>
                <c:pt idx="1">
                  <c:v>02/01/2025</c:v>
                </c:pt>
                <c:pt idx="2">
                  <c:v>03/01/2025</c:v>
                </c:pt>
                <c:pt idx="3">
                  <c:v>04/01/2025</c:v>
                </c:pt>
                <c:pt idx="4">
                  <c:v>05/01/2025</c:v>
                </c:pt>
                <c:pt idx="5">
                  <c:v>06/01/2025</c:v>
                </c:pt>
                <c:pt idx="6">
                  <c:v>07/01/2025</c:v>
                </c:pt>
                <c:pt idx="7">
                  <c:v>08/01/2025</c:v>
                </c:pt>
                <c:pt idx="8">
                  <c:v>12/01/2025</c:v>
                </c:pt>
                <c:pt idx="9">
                  <c:v>13/01/2025</c:v>
                </c:pt>
                <c:pt idx="10">
                  <c:v>18/01/2025</c:v>
                </c:pt>
                <c:pt idx="11">
                  <c:v>21/01/2025</c:v>
                </c:pt>
                <c:pt idx="12">
                  <c:v>25/01/2025</c:v>
                </c:pt>
                <c:pt idx="13">
                  <c:v>29/01/2025</c:v>
                </c:pt>
                <c:pt idx="14">
                  <c:v>30/01/2025</c:v>
                </c:pt>
                <c:pt idx="15">
                  <c:v>02/02/2025</c:v>
                </c:pt>
              </c:strCache>
            </c:strRef>
          </c:cat>
          <c:val>
            <c:numRef>
              <c:f>'Pivot Table'!$BS$5:$BS$21</c:f>
              <c:numCache>
                <c:formatCode>General</c:formatCode>
                <c:ptCount val="16"/>
                <c:pt idx="0">
                  <c:v>116980</c:v>
                </c:pt>
                <c:pt idx="1">
                  <c:v>15946.2</c:v>
                </c:pt>
                <c:pt idx="2">
                  <c:v>1383.75</c:v>
                </c:pt>
                <c:pt idx="3">
                  <c:v>66213</c:v>
                </c:pt>
                <c:pt idx="4">
                  <c:v>240809.60000000001</c:v>
                </c:pt>
                <c:pt idx="5">
                  <c:v>1113</c:v>
                </c:pt>
                <c:pt idx="6">
                  <c:v>5280</c:v>
                </c:pt>
                <c:pt idx="7">
                  <c:v>3178</c:v>
                </c:pt>
                <c:pt idx="8">
                  <c:v>392</c:v>
                </c:pt>
                <c:pt idx="9">
                  <c:v>26142</c:v>
                </c:pt>
                <c:pt idx="10">
                  <c:v>4868</c:v>
                </c:pt>
                <c:pt idx="11">
                  <c:v>127830</c:v>
                </c:pt>
                <c:pt idx="12">
                  <c:v>563</c:v>
                </c:pt>
                <c:pt idx="13">
                  <c:v>1791.6</c:v>
                </c:pt>
                <c:pt idx="14">
                  <c:v>17985</c:v>
                </c:pt>
              </c:numCache>
            </c:numRef>
          </c:val>
          <c:smooth val="0"/>
          <c:extLst>
            <c:ext xmlns:c16="http://schemas.microsoft.com/office/drawing/2014/chart" uri="{C3380CC4-5D6E-409C-BE32-E72D297353CC}">
              <c16:uniqueId val="{00000000-8D9C-40C8-9B36-7DE59054C9C2}"/>
            </c:ext>
          </c:extLst>
        </c:ser>
        <c:ser>
          <c:idx val="1"/>
          <c:order val="1"/>
          <c:tx>
            <c:strRef>
              <c:f>'Pivot Table'!$BT$3:$BT$4</c:f>
              <c:strCache>
                <c:ptCount val="1"/>
                <c:pt idx="0">
                  <c:v>فبراير</c:v>
                </c:pt>
              </c:strCache>
            </c:strRef>
          </c:tx>
          <c:spPr>
            <a:ln w="28575" cap="rnd">
              <a:solidFill>
                <a:schemeClr val="accent2"/>
              </a:solidFill>
              <a:round/>
            </a:ln>
            <a:effectLst/>
          </c:spPr>
          <c:marker>
            <c:symbol val="none"/>
          </c:marker>
          <c:cat>
            <c:strRef>
              <c:f>'Pivot Table'!$BR$5:$BR$21</c:f>
              <c:strCache>
                <c:ptCount val="16"/>
                <c:pt idx="0">
                  <c:v>01/01/2025</c:v>
                </c:pt>
                <c:pt idx="1">
                  <c:v>02/01/2025</c:v>
                </c:pt>
                <c:pt idx="2">
                  <c:v>03/01/2025</c:v>
                </c:pt>
                <c:pt idx="3">
                  <c:v>04/01/2025</c:v>
                </c:pt>
                <c:pt idx="4">
                  <c:v>05/01/2025</c:v>
                </c:pt>
                <c:pt idx="5">
                  <c:v>06/01/2025</c:v>
                </c:pt>
                <c:pt idx="6">
                  <c:v>07/01/2025</c:v>
                </c:pt>
                <c:pt idx="7">
                  <c:v>08/01/2025</c:v>
                </c:pt>
                <c:pt idx="8">
                  <c:v>12/01/2025</c:v>
                </c:pt>
                <c:pt idx="9">
                  <c:v>13/01/2025</c:v>
                </c:pt>
                <c:pt idx="10">
                  <c:v>18/01/2025</c:v>
                </c:pt>
                <c:pt idx="11">
                  <c:v>21/01/2025</c:v>
                </c:pt>
                <c:pt idx="12">
                  <c:v>25/01/2025</c:v>
                </c:pt>
                <c:pt idx="13">
                  <c:v>29/01/2025</c:v>
                </c:pt>
                <c:pt idx="14">
                  <c:v>30/01/2025</c:v>
                </c:pt>
                <c:pt idx="15">
                  <c:v>02/02/2025</c:v>
                </c:pt>
              </c:strCache>
            </c:strRef>
          </c:cat>
          <c:val>
            <c:numRef>
              <c:f>'Pivot Table'!$BT$5:$BT$21</c:f>
              <c:numCache>
                <c:formatCode>General</c:formatCode>
                <c:ptCount val="16"/>
                <c:pt idx="15">
                  <c:v>27410</c:v>
                </c:pt>
              </c:numCache>
            </c:numRef>
          </c:val>
          <c:smooth val="0"/>
          <c:extLst>
            <c:ext xmlns:c16="http://schemas.microsoft.com/office/drawing/2014/chart" uri="{C3380CC4-5D6E-409C-BE32-E72D297353CC}">
              <c16:uniqueId val="{00000000-8C9F-4BC6-8551-092112CC39AA}"/>
            </c:ext>
          </c:extLst>
        </c:ser>
        <c:dLbls>
          <c:showLegendKey val="0"/>
          <c:showVal val="0"/>
          <c:showCatName val="0"/>
          <c:showSerName val="0"/>
          <c:showPercent val="0"/>
          <c:showBubbleSize val="0"/>
        </c:dLbls>
        <c:smooth val="0"/>
        <c:axId val="1933948495"/>
        <c:axId val="1907270079"/>
      </c:lineChart>
      <c:catAx>
        <c:axId val="1933948495"/>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70079"/>
        <c:crosses val="autoZero"/>
        <c:auto val="1"/>
        <c:lblAlgn val="ctr"/>
        <c:lblOffset val="100"/>
        <c:noMultiLvlLbl val="0"/>
      </c:catAx>
      <c:valAx>
        <c:axId val="190727007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94849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234950</xdr:colOff>
      <xdr:row>16</xdr:row>
      <xdr:rowOff>161925</xdr:rowOff>
    </xdr:from>
    <xdr:to>
      <xdr:col>6</xdr:col>
      <xdr:colOff>330200</xdr:colOff>
      <xdr:row>31</xdr:row>
      <xdr:rowOff>142875</xdr:rowOff>
    </xdr:to>
    <xdr:graphicFrame macro="">
      <xdr:nvGraphicFramePr>
        <xdr:cNvPr id="2" name="Chart 1">
          <a:extLst>
            <a:ext uri="{FF2B5EF4-FFF2-40B4-BE49-F238E27FC236}">
              <a16:creationId xmlns:a16="http://schemas.microsoft.com/office/drawing/2014/main" id="{88BAEE54-CA97-5138-7EB3-1C27574A0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82550</xdr:colOff>
      <xdr:row>8</xdr:row>
      <xdr:rowOff>123825</xdr:rowOff>
    </xdr:from>
    <xdr:to>
      <xdr:col>19</xdr:col>
      <xdr:colOff>177800</xdr:colOff>
      <xdr:row>23</xdr:row>
      <xdr:rowOff>104775</xdr:rowOff>
    </xdr:to>
    <xdr:graphicFrame macro="">
      <xdr:nvGraphicFramePr>
        <xdr:cNvPr id="3" name="Chart 2">
          <a:extLst>
            <a:ext uri="{FF2B5EF4-FFF2-40B4-BE49-F238E27FC236}">
              <a16:creationId xmlns:a16="http://schemas.microsoft.com/office/drawing/2014/main" id="{A402F59F-9CF1-275E-3315-D015822CA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501650</xdr:colOff>
      <xdr:row>9</xdr:row>
      <xdr:rowOff>85725</xdr:rowOff>
    </xdr:from>
    <xdr:to>
      <xdr:col>28</xdr:col>
      <xdr:colOff>393700</xdr:colOff>
      <xdr:row>24</xdr:row>
      <xdr:rowOff>66675</xdr:rowOff>
    </xdr:to>
    <xdr:graphicFrame macro="">
      <xdr:nvGraphicFramePr>
        <xdr:cNvPr id="4" name="Chart 3">
          <a:extLst>
            <a:ext uri="{FF2B5EF4-FFF2-40B4-BE49-F238E27FC236}">
              <a16:creationId xmlns:a16="http://schemas.microsoft.com/office/drawing/2014/main" id="{C80622D9-634B-775A-C05E-B06D9B16D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254000</xdr:colOff>
      <xdr:row>10</xdr:row>
      <xdr:rowOff>53975</xdr:rowOff>
    </xdr:from>
    <xdr:to>
      <xdr:col>39</xdr:col>
      <xdr:colOff>444500</xdr:colOff>
      <xdr:row>25</xdr:row>
      <xdr:rowOff>34925</xdr:rowOff>
    </xdr:to>
    <xdr:graphicFrame macro="">
      <xdr:nvGraphicFramePr>
        <xdr:cNvPr id="5" name="Chart 4">
          <a:extLst>
            <a:ext uri="{FF2B5EF4-FFF2-40B4-BE49-F238E27FC236}">
              <a16:creationId xmlns:a16="http://schemas.microsoft.com/office/drawing/2014/main" id="{860063A5-B6E7-7DEC-7017-D273819FE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88900</xdr:colOff>
      <xdr:row>9</xdr:row>
      <xdr:rowOff>25400</xdr:rowOff>
    </xdr:from>
    <xdr:to>
      <xdr:col>50</xdr:col>
      <xdr:colOff>184150</xdr:colOff>
      <xdr:row>20</xdr:row>
      <xdr:rowOff>25400</xdr:rowOff>
    </xdr:to>
    <xdr:graphicFrame macro="">
      <xdr:nvGraphicFramePr>
        <xdr:cNvPr id="8" name="Chart 7">
          <a:extLst>
            <a:ext uri="{FF2B5EF4-FFF2-40B4-BE49-F238E27FC236}">
              <a16:creationId xmlns:a16="http://schemas.microsoft.com/office/drawing/2014/main" id="{5C96DB83-A510-015A-A042-15F7FF0A6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67</xdr:col>
      <xdr:colOff>38100</xdr:colOff>
      <xdr:row>22</xdr:row>
      <xdr:rowOff>101600</xdr:rowOff>
    </xdr:from>
    <xdr:to>
      <xdr:col>72</xdr:col>
      <xdr:colOff>742950</xdr:colOff>
      <xdr:row>37</xdr:row>
      <xdr:rowOff>82550</xdr:rowOff>
    </xdr:to>
    <xdr:graphicFrame macro="">
      <xdr:nvGraphicFramePr>
        <xdr:cNvPr id="9" name="Chart 8">
          <a:extLst>
            <a:ext uri="{FF2B5EF4-FFF2-40B4-BE49-F238E27FC236}">
              <a16:creationId xmlns:a16="http://schemas.microsoft.com/office/drawing/2014/main" id="{6C57AA65-BACB-F3EF-4666-8370E037D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317500</xdr:colOff>
      <xdr:row>5</xdr:row>
      <xdr:rowOff>76200</xdr:rowOff>
    </xdr:from>
    <xdr:to>
      <xdr:col>10</xdr:col>
      <xdr:colOff>438150</xdr:colOff>
      <xdr:row>16</xdr:row>
      <xdr:rowOff>101600</xdr:rowOff>
    </xdr:to>
    <xdr:graphicFrame macro="">
      <xdr:nvGraphicFramePr>
        <xdr:cNvPr id="2" name="Chart 1">
          <a:extLst>
            <a:ext uri="{FF2B5EF4-FFF2-40B4-BE49-F238E27FC236}">
              <a16:creationId xmlns:a16="http://schemas.microsoft.com/office/drawing/2014/main" id="{C3186599-5922-40A8-AEE5-EB1018C64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336550</xdr:colOff>
      <xdr:row>16</xdr:row>
      <xdr:rowOff>146050</xdr:rowOff>
    </xdr:from>
    <xdr:to>
      <xdr:col>10</xdr:col>
      <xdr:colOff>463550</xdr:colOff>
      <xdr:row>29</xdr:row>
      <xdr:rowOff>6350</xdr:rowOff>
    </xdr:to>
    <xdr:graphicFrame macro="">
      <xdr:nvGraphicFramePr>
        <xdr:cNvPr id="4" name="Chart 3">
          <a:extLst>
            <a:ext uri="{FF2B5EF4-FFF2-40B4-BE49-F238E27FC236}">
              <a16:creationId xmlns:a16="http://schemas.microsoft.com/office/drawing/2014/main" id="{85CE8054-026C-4F9B-893C-70033894D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508000</xdr:colOff>
      <xdr:row>5</xdr:row>
      <xdr:rowOff>63500</xdr:rowOff>
    </xdr:from>
    <xdr:to>
      <xdr:col>16</xdr:col>
      <xdr:colOff>0</xdr:colOff>
      <xdr:row>16</xdr:row>
      <xdr:rowOff>95250</xdr:rowOff>
    </xdr:to>
    <xdr:graphicFrame macro="">
      <xdr:nvGraphicFramePr>
        <xdr:cNvPr id="5" name="Chart 4">
          <a:extLst>
            <a:ext uri="{FF2B5EF4-FFF2-40B4-BE49-F238E27FC236}">
              <a16:creationId xmlns:a16="http://schemas.microsoft.com/office/drawing/2014/main" id="{0128D271-57CB-4256-A69C-9C89F8375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514350</xdr:colOff>
      <xdr:row>16</xdr:row>
      <xdr:rowOff>139700</xdr:rowOff>
    </xdr:from>
    <xdr:to>
      <xdr:col>16</xdr:col>
      <xdr:colOff>25400</xdr:colOff>
      <xdr:row>29</xdr:row>
      <xdr:rowOff>0</xdr:rowOff>
    </xdr:to>
    <xdr:graphicFrame macro="">
      <xdr:nvGraphicFramePr>
        <xdr:cNvPr id="7" name="Chart 6">
          <a:extLst>
            <a:ext uri="{FF2B5EF4-FFF2-40B4-BE49-F238E27FC236}">
              <a16:creationId xmlns:a16="http://schemas.microsoft.com/office/drawing/2014/main" id="{79CFFBD5-F630-4E3D-B228-BB563925D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209550</xdr:colOff>
      <xdr:row>5</xdr:row>
      <xdr:rowOff>38100</xdr:rowOff>
    </xdr:from>
    <xdr:to>
      <xdr:col>18</xdr:col>
      <xdr:colOff>425450</xdr:colOff>
      <xdr:row>9</xdr:row>
      <xdr:rowOff>19050</xdr:rowOff>
    </xdr:to>
    <xdr:sp macro="" textlink="'Pivot Table'!BJ4">
      <xdr:nvSpPr>
        <xdr:cNvPr id="8" name="Rectangle 7">
          <a:extLst>
            <a:ext uri="{FF2B5EF4-FFF2-40B4-BE49-F238E27FC236}">
              <a16:creationId xmlns:a16="http://schemas.microsoft.com/office/drawing/2014/main" id="{5B313444-3DE1-D0F9-530A-113B9176C13E}"/>
            </a:ext>
          </a:extLst>
        </xdr:cNvPr>
        <xdr:cNvSpPr/>
      </xdr:nvSpPr>
      <xdr:spPr>
        <a:xfrm>
          <a:off x="9963150" y="958850"/>
          <a:ext cx="1435100" cy="71755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80C8E17-859E-4B25-A7B7-23250EFA32EC}" type="TxLink">
            <a:rPr lang="en-US" sz="1400" b="0" i="0" u="none" strike="noStrike">
              <a:solidFill>
                <a:srgbClr val="000000"/>
              </a:solidFill>
              <a:latin typeface="Calibri"/>
              <a:cs typeface="Calibri"/>
            </a:rPr>
            <a:pPr algn="ctr"/>
            <a:t>657,885</a:t>
          </a:fld>
          <a:endParaRPr lang="en-US" sz="1400"/>
        </a:p>
      </xdr:txBody>
    </xdr:sp>
    <xdr:clientData/>
  </xdr:twoCellAnchor>
  <xdr:twoCellAnchor>
    <xdr:from>
      <xdr:col>4</xdr:col>
      <xdr:colOff>342900</xdr:colOff>
      <xdr:row>29</xdr:row>
      <xdr:rowOff>57150</xdr:rowOff>
    </xdr:from>
    <xdr:to>
      <xdr:col>10</xdr:col>
      <xdr:colOff>463550</xdr:colOff>
      <xdr:row>40</xdr:row>
      <xdr:rowOff>57150</xdr:rowOff>
    </xdr:to>
    <xdr:graphicFrame macro="">
      <xdr:nvGraphicFramePr>
        <xdr:cNvPr id="10" name="Chart 9">
          <a:extLst>
            <a:ext uri="{FF2B5EF4-FFF2-40B4-BE49-F238E27FC236}">
              <a16:creationId xmlns:a16="http://schemas.microsoft.com/office/drawing/2014/main" id="{F8A6124B-9FED-4434-9B53-CFF580790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508000</xdr:colOff>
      <xdr:row>5</xdr:row>
      <xdr:rowOff>146050</xdr:rowOff>
    </xdr:from>
    <xdr:to>
      <xdr:col>18</xdr:col>
      <xdr:colOff>266700</xdr:colOff>
      <xdr:row>7</xdr:row>
      <xdr:rowOff>6350</xdr:rowOff>
    </xdr:to>
    <xdr:sp macro="" textlink="">
      <xdr:nvSpPr>
        <xdr:cNvPr id="11" name="TextBox 10">
          <a:extLst>
            <a:ext uri="{FF2B5EF4-FFF2-40B4-BE49-F238E27FC236}">
              <a16:creationId xmlns:a16="http://schemas.microsoft.com/office/drawing/2014/main" id="{E4805A35-7D34-BA4A-D057-267CA0CFC1A1}"/>
            </a:ext>
          </a:extLst>
        </xdr:cNvPr>
        <xdr:cNvSpPr txBox="1"/>
      </xdr:nvSpPr>
      <xdr:spPr>
        <a:xfrm>
          <a:off x="10261600" y="1066800"/>
          <a:ext cx="9779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0070C0"/>
              </a:solidFill>
            </a:rPr>
            <a:t>Net Sales</a:t>
          </a:r>
        </a:p>
      </xdr:txBody>
    </xdr:sp>
    <xdr:clientData/>
  </xdr:twoCellAnchor>
  <xdr:twoCellAnchor>
    <xdr:from>
      <xdr:col>10</xdr:col>
      <xdr:colOff>495300</xdr:colOff>
      <xdr:row>29</xdr:row>
      <xdr:rowOff>63500</xdr:rowOff>
    </xdr:from>
    <xdr:to>
      <xdr:col>15</xdr:col>
      <xdr:colOff>571500</xdr:colOff>
      <xdr:row>40</xdr:row>
      <xdr:rowOff>69850</xdr:rowOff>
    </xdr:to>
    <xdr:graphicFrame macro="">
      <xdr:nvGraphicFramePr>
        <xdr:cNvPr id="13" name="Chart 12">
          <a:extLst>
            <a:ext uri="{FF2B5EF4-FFF2-40B4-BE49-F238E27FC236}">
              <a16:creationId xmlns:a16="http://schemas.microsoft.com/office/drawing/2014/main" id="{A6A4DC9E-068B-4B7E-84D9-D6F45FA51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228600</xdr:colOff>
      <xdr:row>9</xdr:row>
      <xdr:rowOff>107950</xdr:rowOff>
    </xdr:from>
    <xdr:to>
      <xdr:col>18</xdr:col>
      <xdr:colOff>457200</xdr:colOff>
      <xdr:row>16</xdr:row>
      <xdr:rowOff>50800</xdr:rowOff>
    </xdr:to>
    <xdr:sp macro="" textlink="'Pivot Table'!CA5">
      <xdr:nvSpPr>
        <xdr:cNvPr id="14" name="Rectangle 13">
          <a:extLst>
            <a:ext uri="{FF2B5EF4-FFF2-40B4-BE49-F238E27FC236}">
              <a16:creationId xmlns:a16="http://schemas.microsoft.com/office/drawing/2014/main" id="{C8AC0CE8-F0D6-6429-D420-46B2689B2DFD}"/>
            </a:ext>
          </a:extLst>
        </xdr:cNvPr>
        <xdr:cNvSpPr/>
      </xdr:nvSpPr>
      <xdr:spPr>
        <a:xfrm>
          <a:off x="9982200" y="1765300"/>
          <a:ext cx="1447800" cy="12319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453F9A1-1690-4976-8F54-507B8B68C27C}" type="TxLink">
            <a:rPr lang="en-US" sz="1800" b="0" i="0" u="none" strike="noStrike">
              <a:solidFill>
                <a:srgbClr val="000000"/>
              </a:solidFill>
              <a:latin typeface="Calibri"/>
              <a:cs typeface="Calibri"/>
            </a:rPr>
            <a:pPr algn="ctr"/>
            <a:t>32894.26</a:t>
          </a:fld>
          <a:endParaRPr lang="en-US" sz="1800"/>
        </a:p>
      </xdr:txBody>
    </xdr:sp>
    <xdr:clientData/>
  </xdr:twoCellAnchor>
  <xdr:twoCellAnchor>
    <xdr:from>
      <xdr:col>16</xdr:col>
      <xdr:colOff>254000</xdr:colOff>
      <xdr:row>9</xdr:row>
      <xdr:rowOff>152400</xdr:rowOff>
    </xdr:from>
    <xdr:to>
      <xdr:col>18</xdr:col>
      <xdr:colOff>412750</xdr:colOff>
      <xdr:row>11</xdr:row>
      <xdr:rowOff>63500</xdr:rowOff>
    </xdr:to>
    <xdr:sp macro="" textlink="">
      <xdr:nvSpPr>
        <xdr:cNvPr id="15" name="TextBox 14">
          <a:extLst>
            <a:ext uri="{FF2B5EF4-FFF2-40B4-BE49-F238E27FC236}">
              <a16:creationId xmlns:a16="http://schemas.microsoft.com/office/drawing/2014/main" id="{07542CDE-A107-F869-9D1C-5C1AB968FCAB}"/>
            </a:ext>
          </a:extLst>
        </xdr:cNvPr>
        <xdr:cNvSpPr txBox="1"/>
      </xdr:nvSpPr>
      <xdr:spPr>
        <a:xfrm>
          <a:off x="10007600" y="1809750"/>
          <a:ext cx="1377950"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0070C0"/>
              </a:solidFill>
            </a:rPr>
            <a:t>Average</a:t>
          </a:r>
          <a:r>
            <a:rPr lang="en-US" sz="1200" baseline="0">
              <a:solidFill>
                <a:srgbClr val="0070C0"/>
              </a:solidFill>
            </a:rPr>
            <a:t> Net Profit</a:t>
          </a:r>
          <a:endParaRPr lang="en-US" sz="1200">
            <a:solidFill>
              <a:srgbClr val="0070C0"/>
            </a:solidFill>
          </a:endParaRPr>
        </a:p>
      </xdr:txBody>
    </xdr:sp>
    <xdr:clientData/>
  </xdr:twoCellAnchor>
  <xdr:twoCellAnchor editAs="oneCell">
    <xdr:from>
      <xdr:col>16</xdr:col>
      <xdr:colOff>247650</xdr:colOff>
      <xdr:row>36</xdr:row>
      <xdr:rowOff>120651</xdr:rowOff>
    </xdr:from>
    <xdr:to>
      <xdr:col>21</xdr:col>
      <xdr:colOff>184150</xdr:colOff>
      <xdr:row>40</xdr:row>
      <xdr:rowOff>152400</xdr:rowOff>
    </xdr:to>
    <mc:AlternateContent xmlns:mc="http://schemas.openxmlformats.org/markup-compatibility/2006" xmlns:a14="http://schemas.microsoft.com/office/drawing/2010/main">
      <mc:Choice Requires="a14">
        <xdr:graphicFrame macro="">
          <xdr:nvGraphicFramePr>
            <xdr:cNvPr id="26" name="اسم_الفرع">
              <a:extLst>
                <a:ext uri="{FF2B5EF4-FFF2-40B4-BE49-F238E27FC236}">
                  <a16:creationId xmlns:a16="http://schemas.microsoft.com/office/drawing/2014/main" id="{AB2046DE-EF27-9476-5E93-931E2B8E3367}"/>
                </a:ext>
              </a:extLst>
            </xdr:cNvPr>
            <xdr:cNvGraphicFramePr/>
          </xdr:nvGraphicFramePr>
          <xdr:xfrm>
            <a:off x="0" y="0"/>
            <a:ext cx="0" cy="0"/>
          </xdr:xfrm>
          <a:graphic>
            <a:graphicData uri="http://schemas.microsoft.com/office/drawing/2010/slicer">
              <sle:slicer xmlns:sle="http://schemas.microsoft.com/office/drawing/2010/slicer" name="اسم_الفرع"/>
            </a:graphicData>
          </a:graphic>
        </xdr:graphicFrame>
      </mc:Choice>
      <mc:Fallback xmlns="">
        <xdr:sp macro="" textlink="">
          <xdr:nvSpPr>
            <xdr:cNvPr id="0" name=""/>
            <xdr:cNvSpPr>
              <a:spLocks noTextEdit="1"/>
            </xdr:cNvSpPr>
          </xdr:nvSpPr>
          <xdr:spPr>
            <a:xfrm>
              <a:off x="10001250" y="6750051"/>
              <a:ext cx="2984500" cy="768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577850</xdr:colOff>
      <xdr:row>5</xdr:row>
      <xdr:rowOff>44450</xdr:rowOff>
    </xdr:from>
    <xdr:to>
      <xdr:col>21</xdr:col>
      <xdr:colOff>158750</xdr:colOff>
      <xdr:row>23</xdr:row>
      <xdr:rowOff>66675</xdr:rowOff>
    </xdr:to>
    <mc:AlternateContent xmlns:mc="http://schemas.openxmlformats.org/markup-compatibility/2006" xmlns:a14="http://schemas.microsoft.com/office/drawing/2010/main">
      <mc:Choice Requires="a14">
        <xdr:graphicFrame macro="">
          <xdr:nvGraphicFramePr>
            <xdr:cNvPr id="27" name="تاريخ_الطلب">
              <a:extLst>
                <a:ext uri="{FF2B5EF4-FFF2-40B4-BE49-F238E27FC236}">
                  <a16:creationId xmlns:a16="http://schemas.microsoft.com/office/drawing/2014/main" id="{4B7EC992-0CD1-15AD-C876-1C0184E61415}"/>
                </a:ext>
              </a:extLst>
            </xdr:cNvPr>
            <xdr:cNvGraphicFramePr/>
          </xdr:nvGraphicFramePr>
          <xdr:xfrm>
            <a:off x="0" y="0"/>
            <a:ext cx="0" cy="0"/>
          </xdr:xfrm>
          <a:graphic>
            <a:graphicData uri="http://schemas.microsoft.com/office/drawing/2010/slicer">
              <sle:slicer xmlns:sle="http://schemas.microsoft.com/office/drawing/2010/slicer" name="تاريخ_الطلب"/>
            </a:graphicData>
          </a:graphic>
        </xdr:graphicFrame>
      </mc:Choice>
      <mc:Fallback xmlns="">
        <xdr:sp macro="" textlink="">
          <xdr:nvSpPr>
            <xdr:cNvPr id="0" name=""/>
            <xdr:cNvSpPr>
              <a:spLocks noTextEdit="1"/>
            </xdr:cNvSpPr>
          </xdr:nvSpPr>
          <xdr:spPr>
            <a:xfrm>
              <a:off x="11550650" y="965200"/>
              <a:ext cx="1409700" cy="333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584200</xdr:colOff>
      <xdr:row>23</xdr:row>
      <xdr:rowOff>114300</xdr:rowOff>
    </xdr:from>
    <xdr:to>
      <xdr:col>21</xdr:col>
      <xdr:colOff>171450</xdr:colOff>
      <xdr:row>36</xdr:row>
      <xdr:rowOff>31750</xdr:rowOff>
    </xdr:to>
    <mc:AlternateContent xmlns:mc="http://schemas.openxmlformats.org/markup-compatibility/2006" xmlns:a14="http://schemas.microsoft.com/office/drawing/2010/main">
      <mc:Choice Requires="a14">
        <xdr:graphicFrame macro="">
          <xdr:nvGraphicFramePr>
            <xdr:cNvPr id="28" name="المدينة">
              <a:extLst>
                <a:ext uri="{FF2B5EF4-FFF2-40B4-BE49-F238E27FC236}">
                  <a16:creationId xmlns:a16="http://schemas.microsoft.com/office/drawing/2014/main" id="{A0F06682-5401-436C-195E-B9FDA26AADA9}"/>
                </a:ext>
              </a:extLst>
            </xdr:cNvPr>
            <xdr:cNvGraphicFramePr/>
          </xdr:nvGraphicFramePr>
          <xdr:xfrm>
            <a:off x="0" y="0"/>
            <a:ext cx="0" cy="0"/>
          </xdr:xfrm>
          <a:graphic>
            <a:graphicData uri="http://schemas.microsoft.com/office/drawing/2010/slicer">
              <sle:slicer xmlns:sle="http://schemas.microsoft.com/office/drawing/2010/slicer" name="المدينة"/>
            </a:graphicData>
          </a:graphic>
        </xdr:graphicFrame>
      </mc:Choice>
      <mc:Fallback xmlns="">
        <xdr:sp macro="" textlink="">
          <xdr:nvSpPr>
            <xdr:cNvPr id="0" name=""/>
            <xdr:cNvSpPr>
              <a:spLocks noTextEdit="1"/>
            </xdr:cNvSpPr>
          </xdr:nvSpPr>
          <xdr:spPr>
            <a:xfrm>
              <a:off x="11557000" y="4349750"/>
              <a:ext cx="1416050" cy="231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23</xdr:row>
      <xdr:rowOff>127001</xdr:rowOff>
    </xdr:from>
    <xdr:to>
      <xdr:col>18</xdr:col>
      <xdr:colOff>476250</xdr:colOff>
      <xdr:row>36</xdr:row>
      <xdr:rowOff>38101</xdr:rowOff>
    </xdr:to>
    <mc:AlternateContent xmlns:mc="http://schemas.openxmlformats.org/markup-compatibility/2006" xmlns:a14="http://schemas.microsoft.com/office/drawing/2010/main">
      <mc:Choice Requires="a14">
        <xdr:graphicFrame macro="">
          <xdr:nvGraphicFramePr>
            <xdr:cNvPr id="29" name="اسم_العميل">
              <a:extLst>
                <a:ext uri="{FF2B5EF4-FFF2-40B4-BE49-F238E27FC236}">
                  <a16:creationId xmlns:a16="http://schemas.microsoft.com/office/drawing/2014/main" id="{18B6E5E1-50B4-91AB-9FB1-6D83C4413C26}"/>
                </a:ext>
              </a:extLst>
            </xdr:cNvPr>
            <xdr:cNvGraphicFramePr/>
          </xdr:nvGraphicFramePr>
          <xdr:xfrm>
            <a:off x="0" y="0"/>
            <a:ext cx="0" cy="0"/>
          </xdr:xfrm>
          <a:graphic>
            <a:graphicData uri="http://schemas.microsoft.com/office/drawing/2010/slicer">
              <sle:slicer xmlns:sle="http://schemas.microsoft.com/office/drawing/2010/slicer" name="اسم_العميل"/>
            </a:graphicData>
          </a:graphic>
        </xdr:graphicFrame>
      </mc:Choice>
      <mc:Fallback xmlns="">
        <xdr:sp macro="" textlink="">
          <xdr:nvSpPr>
            <xdr:cNvPr id="0" name=""/>
            <xdr:cNvSpPr>
              <a:spLocks noTextEdit="1"/>
            </xdr:cNvSpPr>
          </xdr:nvSpPr>
          <xdr:spPr>
            <a:xfrm>
              <a:off x="9982200" y="4362451"/>
              <a:ext cx="1466850" cy="230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234950</xdr:colOff>
      <xdr:row>16</xdr:row>
      <xdr:rowOff>101601</xdr:rowOff>
    </xdr:from>
    <xdr:to>
      <xdr:col>18</xdr:col>
      <xdr:colOff>495300</xdr:colOff>
      <xdr:row>23</xdr:row>
      <xdr:rowOff>69851</xdr:rowOff>
    </xdr:to>
    <mc:AlternateContent xmlns:mc="http://schemas.openxmlformats.org/markup-compatibility/2006" xmlns:a14="http://schemas.microsoft.com/office/drawing/2010/main">
      <mc:Choice Requires="a14">
        <xdr:graphicFrame macro="">
          <xdr:nvGraphicFramePr>
            <xdr:cNvPr id="30" name="الفئة">
              <a:extLst>
                <a:ext uri="{FF2B5EF4-FFF2-40B4-BE49-F238E27FC236}">
                  <a16:creationId xmlns:a16="http://schemas.microsoft.com/office/drawing/2014/main" id="{612F15ED-8DD1-DBB6-D2A0-403CBED1F931}"/>
                </a:ext>
              </a:extLst>
            </xdr:cNvPr>
            <xdr:cNvGraphicFramePr/>
          </xdr:nvGraphicFramePr>
          <xdr:xfrm>
            <a:off x="0" y="0"/>
            <a:ext cx="0" cy="0"/>
          </xdr:xfrm>
          <a:graphic>
            <a:graphicData uri="http://schemas.microsoft.com/office/drawing/2010/slicer">
              <sle:slicer xmlns:sle="http://schemas.microsoft.com/office/drawing/2010/slicer" name="الفئة"/>
            </a:graphicData>
          </a:graphic>
        </xdr:graphicFrame>
      </mc:Choice>
      <mc:Fallback xmlns="">
        <xdr:sp macro="" textlink="">
          <xdr:nvSpPr>
            <xdr:cNvPr id="0" name=""/>
            <xdr:cNvSpPr>
              <a:spLocks noTextEdit="1"/>
            </xdr:cNvSpPr>
          </xdr:nvSpPr>
          <xdr:spPr>
            <a:xfrm>
              <a:off x="9988550" y="3048001"/>
              <a:ext cx="147955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 حسين" refreshedDate="46275.971334374997" backgroundQuery="1" createdVersion="8" refreshedVersion="8" minRefreshableVersion="3" recordCount="0" supportSubquery="1" supportAdvancedDrill="1" xr:uid="{CF6ACD8B-99A5-46BD-BF44-5F9D90545085}">
  <cacheSource type="external" connectionId="5"/>
  <cacheFields count="3">
    <cacheField name="[Measures].[Sum of الإجمالي_الكلّي]" caption="Sum of الإجمالي_الكلّي" numFmtId="0" hierarchy="28" level="32767"/>
    <cacheField name="[جدول_المنتجات].[اسم_المنتج].[اسم_المنتج]" caption="اسم_المنتج" numFmtId="0" hierarchy="24" level="1">
      <sharedItems count="11">
        <s v="حامل لابتوب"/>
        <s v="ساعة ذكية"/>
        <s v="سماعة رأس"/>
        <s v="شاحن سريع"/>
        <s v="شاشة 24 بوصة"/>
        <s v="طابعة ليزر"/>
        <s v="كاميرا ويب"/>
        <s v="كرسي مكتب"/>
        <s v="لابتوب ديل"/>
        <s v="ماوس لاسلكي"/>
        <s v="مكتب خشبي"/>
      </sharedItems>
    </cacheField>
    <cacheField name="[جدول_المنتجات].[الفئة].[الفئة]" caption="الفئة" numFmtId="0" hierarchy="25" level="1">
      <sharedItems containsSemiMixedTypes="0" containsNonDate="0" containsString="0"/>
    </cacheField>
  </cacheFields>
  <cacheHierarchies count="40">
    <cacheHierarchy uniqueName="[جدول_العملاء].[معرف_العميل]" caption="معرف_العميل" attribute="1" defaultMemberUniqueName="[جدول_العملاء].[معرف_العميل].[All]" allUniqueName="[جدول_العملاء].[معرف_العميل].[All]" dimensionUniqueName="[جدول_العملاء]" displayFolder="" count="0" memberValueDatatype="130" unbalanced="0"/>
    <cacheHierarchy uniqueName="[جدول_العملاء].[اسم_العميل]" caption="اسم_العميل" attribute="1" defaultMemberUniqueName="[جدول_العملاء].[اسم_العميل].[All]" allUniqueName="[جدول_العملاء].[اسم_العميل].[All]" dimensionUniqueName="[جدول_العملاء]" displayFolder="" count="0" memberValueDatatype="130" unbalanced="0"/>
    <cacheHierarchy uniqueName="[جدول_العملاء].[القطاع]" caption="القطاع" attribute="1" defaultMemberUniqueName="[جدول_العملاء].[القطاع].[All]" allUniqueName="[جدول_العملاء].[القطاع].[All]" dimensionUniqueName="[جدول_العملاء]" displayFolder="" count="0" memberValueDatatype="130" unbalanced="0"/>
    <cacheHierarchy uniqueName="[جدول_العملاء].[المدينة]" caption="المدينة" attribute="1" defaultMemberUniqueName="[جدول_العملاء].[المدينة].[All]" allUniqueName="[جدول_العملاء].[المدينة].[All]" dimensionUniqueName="[جدول_العملاء]" displayFolder="" count="0" memberValueDatatype="130" unbalanced="0"/>
    <cacheHierarchy uniqueName="[جدول_الفروع].[معرف_الفرع]" caption="معرف_الفرع" attribute="1" defaultMemberUniqueName="[جدول_الفروع].[معرف_الفرع].[All]" allUniqueName="[جدول_الفروع].[معرف_الفرع].[All]" dimensionUniqueName="[جدول_الفروع]" displayFolder="" count="0" memberValueDatatype="130" unbalanced="0"/>
    <cacheHierarchy uniqueName="[جدول_الفروع].[اسم_الفرع]" caption="اسم_الفرع" attribute="1" defaultMemberUniqueName="[جدول_الفروع].[اسم_الفرع].[All]" allUniqueName="[جدول_الفروع].[اسم_الفرع].[All]" dimensionUniqueName="[جدول_الفروع]" displayFolder="" count="0" memberValueDatatype="130" unbalanced="0"/>
    <cacheHierarchy uniqueName="[جدول_الفروع].[الإقليم]" caption="الإقليم" attribute="1" defaultMemberUniqueName="[جدول_الفروع].[الإقليم].[All]" allUniqueName="[جدول_الفروع].[الإقليم].[All]" dimensionUniqueName="[جدول_الفروع]" displayFolder="" count="0" memberValueDatatype="130" unbalanced="0"/>
    <cacheHierarchy uniqueName="[جدول_المبيعات].[معرف_الطلب]" caption="معرف_الطلب" attribute="1" defaultMemberUniqueName="[جدول_المبيعات].[معرف_الطلب].[All]" allUniqueName="[جدول_المبيعات].[معرف_الطلب].[All]" dimensionUniqueName="[جدول_المبيعات]" displayFolder="" count="0" memberValueDatatype="20" unbalanced="0"/>
    <cacheHierarchy uniqueName="[جدول_المبيعات].[تاريخ_الطلب]" caption="تاريخ_الطلب" attribute="1" time="1" defaultMemberUniqueName="[جدول_المبيعات].[تاريخ_الطلب].[All]" allUniqueName="[جدول_المبيعات].[تاريخ_الطلب].[All]" dimensionUniqueName="[جدول_المبيعات]" displayFolder="" count="0" memberValueDatatype="7" unbalanced="0"/>
    <cacheHierarchy uniqueName="[جدول_المبيعات].[معرف_العميل]" caption="معرف_العميل" attribute="1" defaultMemberUniqueName="[جدول_المبيعات].[معرف_العميل].[All]" allUniqueName="[جدول_المبيعات].[معرف_العميل].[All]" dimensionUniqueName="[جدول_المبيعات]" displayFolder="" count="0" memberValueDatatype="130" unbalanced="0"/>
    <cacheHierarchy uniqueName="[جدول_المبيعات].[معرف_المنتج]" caption="معرف_المنتج" attribute="1" defaultMemberUniqueName="[جدول_المبيعات].[معرف_المنتج].[All]" allUniqueName="[جدول_المبيعات].[معرف_المنتج].[All]" dimensionUniqueName="[جدول_المبيعات]" displayFolder="" count="0" memberValueDatatype="130" unbalanced="0"/>
    <cacheHierarchy uniqueName="[جدول_المبيعات].[معرف_الفرع]" caption="معرف_الفرع" attribute="1" defaultMemberUniqueName="[جدول_المبيعات].[معرف_الفرع].[All]" allUniqueName="[جدول_المبيعات].[معرف_الفرع].[All]" dimensionUniqueName="[جدول_المبيعات]" displayFolder="" count="0" memberValueDatatype="130" unbalanced="0"/>
    <cacheHierarchy uniqueName="[جدول_المبيعات].[الكمية]" caption="الكمية" attribute="1" defaultMemberUniqueName="[جدول_المبيعات].[الكمية].[All]" allUniqueName="[جدول_المبيعات].[الكمية].[All]" dimensionUniqueName="[جدول_المبيعات]" displayFolder="" count="0" memberValueDatatype="20" unbalanced="0"/>
    <cacheHierarchy uniqueName="[جدول_المبيعات].[سعر_الوحدة]" caption="سعر_الوحدة" attribute="1" defaultMemberUniqueName="[جدول_المبيعات].[سعر_الوحدة].[All]" allUniqueName="[جدول_المبيعات].[سعر_الوحدة].[All]" dimensionUniqueName="[جدول_المبيعات]" displayFolder="" count="0" memberValueDatatype="20" unbalanced="0"/>
    <cacheHierarchy uniqueName="[جدول_المبيعات].[الإجمالي_الفرعي]" caption="الإجمالي_الفرعي" attribute="1" defaultMemberUniqueName="[جدول_المبيعات].[الإجمالي_الفرعي].[All]" allUniqueName="[جدول_المبيعات].[الإجمالي_الفرعي].[All]" dimensionUniqueName="[جدول_المبيعات]" displayFolder="" count="0" memberValueDatatype="20" unbalanced="0"/>
    <cacheHierarchy uniqueName="[جدول_المبيعات].[نسبة_الخصم]" caption="نسبة_الخصم" attribute="1" defaultMemberUniqueName="[جدول_المبيعات].[نسبة_الخصم].[All]" allUniqueName="[جدول_المبيعات].[نسبة_الخصم].[All]" dimensionUniqueName="[جدول_المبيعات]" displayFolder="" count="0" memberValueDatatype="5" unbalanced="0"/>
    <cacheHierarchy uniqueName="[جدول_المبيعات].[قيمة_الخصم]" caption="قيمة_الخصم" attribute="1" defaultMemberUniqueName="[جدول_المبيعات].[قيمة_الخصم].[All]" allUniqueName="[جدول_المبيعات].[قيمة_الخصم].[All]" dimensionUniqueName="[جدول_المبيعات]" displayFolder="" count="0" memberValueDatatype="5" unbalanced="0"/>
    <cacheHierarchy uniqueName="[جدول_المبيعات].[قيمة_الضريبة]" caption="قيمة_الضريبة" attribute="1" defaultMemberUniqueName="[جدول_المبيعات].[قيمة_الضريبة].[All]" allUniqueName="[جدول_المبيعات].[قيمة_الضريبة].[All]" dimensionUniqueName="[جدول_المبيعات]" displayFolder="" count="0" memberValueDatatype="5" unbalanced="0"/>
    <cacheHierarchy uniqueName="[جدول_المبيعات].[تكلفة_الشحن]" caption="تكلفة_الشحن" attribute="1" defaultMemberUniqueName="[جدول_المبيعات].[تكلفة_الشحن].[All]" allUniqueName="[جدول_المبيعات].[تكلفة_الشحن].[All]" dimensionUniqueName="[جدول_المبيعات]" displayFolder="" count="0" memberValueDatatype="20" unbalanced="0"/>
    <cacheHierarchy uniqueName="[جدول_المبيعات].[الإجمالي_الكلّي]" caption="الإجمالي_الكلّي" attribute="1" defaultMemberUniqueName="[جدول_المبيعات].[الإجمالي_الكلّي].[All]" allUniqueName="[جدول_المبيعات].[الإجمالي_الكلّي].[All]" dimensionUniqueName="[جدول_المبيعات]" displayFolder="" count="0" memberValueDatatype="5" unbalanced="0"/>
    <cacheHierarchy uniqueName="[جدول_المبيعات].[طريقة_الدفع]" caption="طريقة_الدفع" attribute="1" defaultMemberUniqueName="[جدول_المبيعات].[طريقة_الدفع].[All]" allUniqueName="[جدول_المبيعات].[طريقة_الدفع].[All]" dimensionUniqueName="[جدول_المبيعات]" displayFolder="" count="0" memberValueDatatype="130" unbalanced="0"/>
    <cacheHierarchy uniqueName="[جدول_المبيعات].[حالة_الطلب]" caption="حالة_الطلب" attribute="1" defaultMemberUniqueName="[جدول_المبيعات].[حالة_الطلب].[All]" allUniqueName="[جدول_المبيعات].[حالة_الطلب].[All]" dimensionUniqueName="[جدول_المبيعات]" displayFolder="" count="0" memberValueDatatype="130" unbalanced="0"/>
    <cacheHierarchy uniqueName="[جدول_المبيعات].[تاريخ_الطلب (Month)]" caption="تاريخ_الطلب (Month)" attribute="1" defaultMemberUniqueName="[جدول_المبيعات].[تاريخ_الطلب (Month)].[All]" allUniqueName="[جدول_المبيعات].[تاريخ_الطلب (Month)].[All]" dimensionUniqueName="[جدول_المبيعات]" displayFolder="" count="0" memberValueDatatype="130" unbalanced="0"/>
    <cacheHierarchy uniqueName="[جدول_المنتجات].[معرف_المنتج]" caption="معرف_المنتج" attribute="1" defaultMemberUniqueName="[جدول_المنتجات].[معرف_المنتج].[All]" allUniqueName="[جدول_المنتجات].[معرف_المنتج].[All]" dimensionUniqueName="[جدول_المنتجات]" displayFolder="" count="0" memberValueDatatype="130" unbalanced="0"/>
    <cacheHierarchy uniqueName="[جدول_المنتجات].[اسم_المنتج]" caption="اسم_المنتج" attribute="1" defaultMemberUniqueName="[جدول_المنتجات].[اسم_المنتج].[All]" allUniqueName="[جدول_المنتجات].[اسم_المنتج].[All]" dimensionUniqueName="[جدول_المنتجات]" displayFolder="" count="2" memberValueDatatype="130" unbalanced="0">
      <fieldsUsage count="2">
        <fieldUsage x="-1"/>
        <fieldUsage x="1"/>
      </fieldsUsage>
    </cacheHierarchy>
    <cacheHierarchy uniqueName="[جدول_المنتجات].[الفئة]" caption="الفئة" attribute="1" defaultMemberUniqueName="[جدول_المنتجات].[الفئة].[All]" allUniqueName="[جدول_المنتجات].[الفئة].[All]" dimensionUniqueName="[جدول_المنتجات]" displayFolder="" count="2" memberValueDatatype="130" unbalanced="0">
      <fieldsUsage count="2">
        <fieldUsage x="-1"/>
        <fieldUsage x="2"/>
      </fieldsUsage>
    </cacheHierarchy>
    <cacheHierarchy uniqueName="[جدول_المنتجات].[سعر_الوحدة]" caption="سعر_الوحدة" attribute="1" defaultMemberUniqueName="[جدول_المنتجات].[سعر_الوحدة].[All]" allUniqueName="[جدول_المنتجات].[سعر_الوحدة].[All]" dimensionUniqueName="[جدول_المنتجات]" displayFolder="" count="0" memberValueDatatype="130" unbalanced="0"/>
    <cacheHierarchy uniqueName="[جدول_المبيعات].[تاريخ_الطلب (Month Index)]" caption="تاريخ_الطلب (Month Index)" attribute="1" defaultMemberUniqueName="[جدول_المبيعات].[تاريخ_الطلب (Month Index)].[All]" allUniqueName="[جدول_المبيعات].[تاريخ_الطلب (Month Index)].[All]" dimensionUniqueName="[جدول_المبيعات]" displayFolder="" count="0" memberValueDatatype="20" unbalanced="0" hidden="1"/>
    <cacheHierarchy uniqueName="[Measures].[Sum of الإجمالي_الكلّي]" caption="Sum of الإجمالي_الكلّي" measure="1" displayFolder="" measureGroup="جدول_المبيعات" count="0" oneField="1">
      <fieldsUsage count="1">
        <fieldUsage x="0"/>
      </fieldsUsage>
      <extLst>
        <ext xmlns:x15="http://schemas.microsoft.com/office/spreadsheetml/2010/11/main" uri="{B97F6D7D-B522-45F9-BDA1-12C45D357490}">
          <x15:cacheHierarchy aggregatedColumn="19"/>
        </ext>
      </extLst>
    </cacheHierarchy>
    <cacheHierarchy uniqueName="[Measures].[Sum of تكلفة_الشحن]" caption="Sum of تكلفة_الشحن" measure="1" displayFolder="" measureGroup="جدول_المبيعات" count="0">
      <extLst>
        <ext xmlns:x15="http://schemas.microsoft.com/office/spreadsheetml/2010/11/main" uri="{B97F6D7D-B522-45F9-BDA1-12C45D357490}">
          <x15:cacheHierarchy aggregatedColumn="18"/>
        </ext>
      </extLst>
    </cacheHierarchy>
    <cacheHierarchy uniqueName="[Measures].[Sum of الإجمالي_الفرعي]" caption="Sum of الإجمالي_الفرعي" measure="1" displayFolder="" measureGroup="جدول_المبيعات" count="0">
      <extLst>
        <ext xmlns:x15="http://schemas.microsoft.com/office/spreadsheetml/2010/11/main" uri="{B97F6D7D-B522-45F9-BDA1-12C45D357490}">
          <x15:cacheHierarchy aggregatedColumn="14"/>
        </ext>
      </extLst>
    </cacheHierarchy>
    <cacheHierarchy uniqueName="[Measures].[Sum of سعر_الوحدة]" caption="Sum of سعر_الوحدة" measure="1" displayFolder="" measureGroup="جدول_المبيعات" count="0">
      <extLst>
        <ext xmlns:x15="http://schemas.microsoft.com/office/spreadsheetml/2010/11/main" uri="{B97F6D7D-B522-45F9-BDA1-12C45D357490}">
          <x15:cacheHierarchy aggregatedColumn="13"/>
        </ext>
      </extLst>
    </cacheHierarchy>
    <cacheHierarchy uniqueName="[Measures].[Sum of الكمية]" caption="Sum of الكمية" measure="1" displayFolder="" measureGroup="جدول_المبيعات" count="0">
      <extLst>
        <ext xmlns:x15="http://schemas.microsoft.com/office/spreadsheetml/2010/11/main" uri="{B97F6D7D-B522-45F9-BDA1-12C45D357490}">
          <x15:cacheHierarchy aggregatedColumn="12"/>
        </ext>
      </extLst>
    </cacheHierarchy>
    <cacheHierarchy uniqueName="[Measures].[صافى الربح]" caption="صافى الربح" measure="1" displayFolder="" measureGroup="جدول_المبيعات" count="0"/>
    <cacheHierarchy uniqueName="[Measures].[متوسط الربح]" caption="متوسط الربح" measure="1" displayFolder="" measureGroup="جدول_المبيعات" count="0"/>
    <cacheHierarchy uniqueName="[Measures].[__XL_Count جدول_المبيعات]" caption="__XL_Count جدول_المبيعات" measure="1" displayFolder="" measureGroup="جدول_المبيعات" count="0" hidden="1"/>
    <cacheHierarchy uniqueName="[Measures].[__XL_Count جدول_المنتجات]" caption="__XL_Count جدول_المنتجات" measure="1" displayFolder="" measureGroup="جدول_المنتجات" count="0" hidden="1"/>
    <cacheHierarchy uniqueName="[Measures].[__XL_Count جدول_العملاء]" caption="__XL_Count جدول_العملاء" measure="1" displayFolder="" measureGroup="جدول_العملاء" count="0" hidden="1"/>
    <cacheHierarchy uniqueName="[Measures].[__XL_Count جدول_الفروع]" caption="__XL_Count جدول_الفروع" measure="1" displayFolder="" measureGroup="جدول_الفروع" count="0" hidden="1"/>
    <cacheHierarchy uniqueName="[Measures].[__No measures defined]" caption="__No measures defined" measure="1" displayFolder="" count="0" hidden="1"/>
  </cacheHierarchies>
  <kpis count="0"/>
  <dimensions count="5">
    <dimension measure="1" name="Measures" uniqueName="[Measures]" caption="Measures"/>
    <dimension name="جدول_العملاء" uniqueName="[جدول_العملاء]" caption="جدول_العملاء"/>
    <dimension name="جدول_الفروع" uniqueName="[جدول_الفروع]" caption="جدول_الفروع"/>
    <dimension name="جدول_المبيعات" uniqueName="[جدول_المبيعات]" caption="جدول_المبيعات"/>
    <dimension name="جدول_المنتجات" uniqueName="[جدول_المنتجات]" caption="جدول_المنتجات"/>
  </dimensions>
  <measureGroups count="4">
    <measureGroup name="جدول_العملاء" caption="جدول_العملاء"/>
    <measureGroup name="جدول_الفروع" caption="جدول_الفروع"/>
    <measureGroup name="جدول_المبيعات" caption="جدول_المبيعات"/>
    <measureGroup name="جدول_المنتجات" caption="جدول_المنتجات"/>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 حسين" refreshedDate="46275.971335069444" backgroundQuery="1" createdVersion="8" refreshedVersion="8" minRefreshableVersion="3" recordCount="0" supportSubquery="1" supportAdvancedDrill="1" xr:uid="{9F73DA2A-98C8-4840-A68D-C6B79537534B}">
  <cacheSource type="external" connectionId="5"/>
  <cacheFields count="3">
    <cacheField name="[Measures].[Sum of الإجمالي_الكلّي]" caption="Sum of الإجمالي_الكلّي" numFmtId="0" hierarchy="28" level="32767"/>
    <cacheField name="[جدول_المبيعات].[طريقة_الدفع].[طريقة_الدفع]" caption="طريقة_الدفع" numFmtId="0" hierarchy="20" level="1">
      <sharedItems count="5">
        <s v="بطاقة ائتمان"/>
        <s v="تقسيط"/>
        <s v="محفظة إلكترونية"/>
        <s v="نقدا"/>
        <s v="نقداً"/>
      </sharedItems>
    </cacheField>
    <cacheField name="[جدول_المنتجات].[الفئة].[الفئة]" caption="الفئة" numFmtId="0" hierarchy="25" level="1">
      <sharedItems containsSemiMixedTypes="0" containsNonDate="0" containsString="0"/>
    </cacheField>
  </cacheFields>
  <cacheHierarchies count="40">
    <cacheHierarchy uniqueName="[جدول_العملاء].[معرف_العميل]" caption="معرف_العميل" attribute="1" defaultMemberUniqueName="[جدول_العملاء].[معرف_العميل].[All]" allUniqueName="[جدول_العملاء].[معرف_العميل].[All]" dimensionUniqueName="[جدول_العملاء]" displayFolder="" count="0" memberValueDatatype="130" unbalanced="0"/>
    <cacheHierarchy uniqueName="[جدول_العملاء].[اسم_العميل]" caption="اسم_العميل" attribute="1" defaultMemberUniqueName="[جدول_العملاء].[اسم_العميل].[All]" allUniqueName="[جدول_العملاء].[اسم_العميل].[All]" dimensionUniqueName="[جدول_العملاء]" displayFolder="" count="0" memberValueDatatype="130" unbalanced="0"/>
    <cacheHierarchy uniqueName="[جدول_العملاء].[القطاع]" caption="القطاع" attribute="1" defaultMemberUniqueName="[جدول_العملاء].[القطاع].[All]" allUniqueName="[جدول_العملاء].[القطاع].[All]" dimensionUniqueName="[جدول_العملاء]" displayFolder="" count="0" memberValueDatatype="130" unbalanced="0"/>
    <cacheHierarchy uniqueName="[جدول_العملاء].[المدينة]" caption="المدينة" attribute="1" defaultMemberUniqueName="[جدول_العملاء].[المدينة].[All]" allUniqueName="[جدول_العملاء].[المدينة].[All]" dimensionUniqueName="[جدول_العملاء]" displayFolder="" count="0" memberValueDatatype="130" unbalanced="0"/>
    <cacheHierarchy uniqueName="[جدول_الفروع].[معرف_الفرع]" caption="معرف_الفرع" attribute="1" defaultMemberUniqueName="[جدول_الفروع].[معرف_الفرع].[All]" allUniqueName="[جدول_الفروع].[معرف_الفرع].[All]" dimensionUniqueName="[جدول_الفروع]" displayFolder="" count="0" memberValueDatatype="130" unbalanced="0"/>
    <cacheHierarchy uniqueName="[جدول_الفروع].[اسم_الفرع]" caption="اسم_الفرع" attribute="1" defaultMemberUniqueName="[جدول_الفروع].[اسم_الفرع].[All]" allUniqueName="[جدول_الفروع].[اسم_الفرع].[All]" dimensionUniqueName="[جدول_الفروع]" displayFolder="" count="0" memberValueDatatype="130" unbalanced="0"/>
    <cacheHierarchy uniqueName="[جدول_الفروع].[الإقليم]" caption="الإقليم" attribute="1" defaultMemberUniqueName="[جدول_الفروع].[الإقليم].[All]" allUniqueName="[جدول_الفروع].[الإقليم].[All]" dimensionUniqueName="[جدول_الفروع]" displayFolder="" count="0" memberValueDatatype="130" unbalanced="0"/>
    <cacheHierarchy uniqueName="[جدول_المبيعات].[معرف_الطلب]" caption="معرف_الطلب" attribute="1" defaultMemberUniqueName="[جدول_المبيعات].[معرف_الطلب].[All]" allUniqueName="[جدول_المبيعات].[معرف_الطلب].[All]" dimensionUniqueName="[جدول_المبيعات]" displayFolder="" count="0" memberValueDatatype="20" unbalanced="0"/>
    <cacheHierarchy uniqueName="[جدول_المبيعات].[تاريخ_الطلب]" caption="تاريخ_الطلب" attribute="1" time="1" defaultMemberUniqueName="[جدول_المبيعات].[تاريخ_الطلب].[All]" allUniqueName="[جدول_المبيعات].[تاريخ_الطلب].[All]" dimensionUniqueName="[جدول_المبيعات]" displayFolder="" count="0" memberValueDatatype="7" unbalanced="0"/>
    <cacheHierarchy uniqueName="[جدول_المبيعات].[معرف_العميل]" caption="معرف_العميل" attribute="1" defaultMemberUniqueName="[جدول_المبيعات].[معرف_العميل].[All]" allUniqueName="[جدول_المبيعات].[معرف_العميل].[All]" dimensionUniqueName="[جدول_المبيعات]" displayFolder="" count="0" memberValueDatatype="130" unbalanced="0"/>
    <cacheHierarchy uniqueName="[جدول_المبيعات].[معرف_المنتج]" caption="معرف_المنتج" attribute="1" defaultMemberUniqueName="[جدول_المبيعات].[معرف_المنتج].[All]" allUniqueName="[جدول_المبيعات].[معرف_المنتج].[All]" dimensionUniqueName="[جدول_المبيعات]" displayFolder="" count="0" memberValueDatatype="130" unbalanced="0"/>
    <cacheHierarchy uniqueName="[جدول_المبيعات].[معرف_الفرع]" caption="معرف_الفرع" attribute="1" defaultMemberUniqueName="[جدول_المبيعات].[معرف_الفرع].[All]" allUniqueName="[جدول_المبيعات].[معرف_الفرع].[All]" dimensionUniqueName="[جدول_المبيعات]" displayFolder="" count="0" memberValueDatatype="130" unbalanced="0"/>
    <cacheHierarchy uniqueName="[جدول_المبيعات].[الكمية]" caption="الكمية" attribute="1" defaultMemberUniqueName="[جدول_المبيعات].[الكمية].[All]" allUniqueName="[جدول_المبيعات].[الكمية].[All]" dimensionUniqueName="[جدول_المبيعات]" displayFolder="" count="0" memberValueDatatype="20" unbalanced="0"/>
    <cacheHierarchy uniqueName="[جدول_المبيعات].[سعر_الوحدة]" caption="سعر_الوحدة" attribute="1" defaultMemberUniqueName="[جدول_المبيعات].[سعر_الوحدة].[All]" allUniqueName="[جدول_المبيعات].[سعر_الوحدة].[All]" dimensionUniqueName="[جدول_المبيعات]" displayFolder="" count="0" memberValueDatatype="20" unbalanced="0"/>
    <cacheHierarchy uniqueName="[جدول_المبيعات].[الإجمالي_الفرعي]" caption="الإجمالي_الفرعي" attribute="1" defaultMemberUniqueName="[جدول_المبيعات].[الإجمالي_الفرعي].[All]" allUniqueName="[جدول_المبيعات].[الإجمالي_الفرعي].[All]" dimensionUniqueName="[جدول_المبيعات]" displayFolder="" count="0" memberValueDatatype="20" unbalanced="0"/>
    <cacheHierarchy uniqueName="[جدول_المبيعات].[نسبة_الخصم]" caption="نسبة_الخصم" attribute="1" defaultMemberUniqueName="[جدول_المبيعات].[نسبة_الخصم].[All]" allUniqueName="[جدول_المبيعات].[نسبة_الخصم].[All]" dimensionUniqueName="[جدول_المبيعات]" displayFolder="" count="0" memberValueDatatype="5" unbalanced="0"/>
    <cacheHierarchy uniqueName="[جدول_المبيعات].[قيمة_الخصم]" caption="قيمة_الخصم" attribute="1" defaultMemberUniqueName="[جدول_المبيعات].[قيمة_الخصم].[All]" allUniqueName="[جدول_المبيعات].[قيمة_الخصم].[All]" dimensionUniqueName="[جدول_المبيعات]" displayFolder="" count="0" memberValueDatatype="5" unbalanced="0"/>
    <cacheHierarchy uniqueName="[جدول_المبيعات].[قيمة_الضريبة]" caption="قيمة_الضريبة" attribute="1" defaultMemberUniqueName="[جدول_المبيعات].[قيمة_الضريبة].[All]" allUniqueName="[جدول_المبيعات].[قيمة_الضريبة].[All]" dimensionUniqueName="[جدول_المبيعات]" displayFolder="" count="0" memberValueDatatype="5" unbalanced="0"/>
    <cacheHierarchy uniqueName="[جدول_المبيعات].[تكلفة_الشحن]" caption="تكلفة_الشحن" attribute="1" defaultMemberUniqueName="[جدول_المبيعات].[تكلفة_الشحن].[All]" allUniqueName="[جدول_المبيعات].[تكلفة_الشحن].[All]" dimensionUniqueName="[جدول_المبيعات]" displayFolder="" count="0" memberValueDatatype="20" unbalanced="0"/>
    <cacheHierarchy uniqueName="[جدول_المبيعات].[الإجمالي_الكلّي]" caption="الإجمالي_الكلّي" attribute="1" defaultMemberUniqueName="[جدول_المبيعات].[الإجمالي_الكلّي].[All]" allUniqueName="[جدول_المبيعات].[الإجمالي_الكلّي].[All]" dimensionUniqueName="[جدول_المبيعات]" displayFolder="" count="0" memberValueDatatype="5" unbalanced="0"/>
    <cacheHierarchy uniqueName="[جدول_المبيعات].[طريقة_الدفع]" caption="طريقة_الدفع" attribute="1" defaultMemberUniqueName="[جدول_المبيعات].[طريقة_الدفع].[All]" allUniqueName="[جدول_المبيعات].[طريقة_الدفع].[All]" dimensionUniqueName="[جدول_المبيعات]" displayFolder="" count="2" memberValueDatatype="130" unbalanced="0">
      <fieldsUsage count="2">
        <fieldUsage x="-1"/>
        <fieldUsage x="1"/>
      </fieldsUsage>
    </cacheHierarchy>
    <cacheHierarchy uniqueName="[جدول_المبيعات].[حالة_الطلب]" caption="حالة_الطلب" attribute="1" defaultMemberUniqueName="[جدول_المبيعات].[حالة_الطلب].[All]" allUniqueName="[جدول_المبيعات].[حالة_الطلب].[All]" dimensionUniqueName="[جدول_المبيعات]" displayFolder="" count="0" memberValueDatatype="130" unbalanced="0"/>
    <cacheHierarchy uniqueName="[جدول_المبيعات].[تاريخ_الطلب (Month)]" caption="تاريخ_الطلب (Month)" attribute="1" defaultMemberUniqueName="[جدول_المبيعات].[تاريخ_الطلب (Month)].[All]" allUniqueName="[جدول_المبيعات].[تاريخ_الطلب (Month)].[All]" dimensionUniqueName="[جدول_المبيعات]" displayFolder="" count="0" memberValueDatatype="130" unbalanced="0"/>
    <cacheHierarchy uniqueName="[جدول_المنتجات].[معرف_المنتج]" caption="معرف_المنتج" attribute="1" defaultMemberUniqueName="[جدول_المنتجات].[معرف_المنتج].[All]" allUniqueName="[جدول_المنتجات].[معرف_المنتج].[All]" dimensionUniqueName="[جدول_المنتجات]" displayFolder="" count="0" memberValueDatatype="130" unbalanced="0"/>
    <cacheHierarchy uniqueName="[جدول_المنتجات].[اسم_المنتج]" caption="اسم_المنتج" attribute="1" defaultMemberUniqueName="[جدول_المنتجات].[اسم_المنتج].[All]" allUniqueName="[جدول_المنتجات].[اسم_المنتج].[All]" dimensionUniqueName="[جدول_المنتجات]" displayFolder="" count="0" memberValueDatatype="130" unbalanced="0"/>
    <cacheHierarchy uniqueName="[جدول_المنتجات].[الفئة]" caption="الفئة" attribute="1" defaultMemberUniqueName="[جدول_المنتجات].[الفئة].[All]" allUniqueName="[جدول_المنتجات].[الفئة].[All]" dimensionUniqueName="[جدول_المنتجات]" displayFolder="" count="2" memberValueDatatype="130" unbalanced="0">
      <fieldsUsage count="2">
        <fieldUsage x="-1"/>
        <fieldUsage x="2"/>
      </fieldsUsage>
    </cacheHierarchy>
    <cacheHierarchy uniqueName="[جدول_المنتجات].[سعر_الوحدة]" caption="سعر_الوحدة" attribute="1" defaultMemberUniqueName="[جدول_المنتجات].[سعر_الوحدة].[All]" allUniqueName="[جدول_المنتجات].[سعر_الوحدة].[All]" dimensionUniqueName="[جدول_المنتجات]" displayFolder="" count="0" memberValueDatatype="130" unbalanced="0"/>
    <cacheHierarchy uniqueName="[جدول_المبيعات].[تاريخ_الطلب (Month Index)]" caption="تاريخ_الطلب (Month Index)" attribute="1" defaultMemberUniqueName="[جدول_المبيعات].[تاريخ_الطلب (Month Index)].[All]" allUniqueName="[جدول_المبيعات].[تاريخ_الطلب (Month Index)].[All]" dimensionUniqueName="[جدول_المبيعات]" displayFolder="" count="0" memberValueDatatype="20" unbalanced="0" hidden="1"/>
    <cacheHierarchy uniqueName="[Measures].[Sum of الإجمالي_الكلّي]" caption="Sum of الإجمالي_الكلّي" measure="1" displayFolder="" measureGroup="جدول_المبيعات" count="0" oneField="1">
      <fieldsUsage count="1">
        <fieldUsage x="0"/>
      </fieldsUsage>
      <extLst>
        <ext xmlns:x15="http://schemas.microsoft.com/office/spreadsheetml/2010/11/main" uri="{B97F6D7D-B522-45F9-BDA1-12C45D357490}">
          <x15:cacheHierarchy aggregatedColumn="19"/>
        </ext>
      </extLst>
    </cacheHierarchy>
    <cacheHierarchy uniqueName="[Measures].[Sum of تكلفة_الشحن]" caption="Sum of تكلفة_الشحن" measure="1" displayFolder="" measureGroup="جدول_المبيعات" count="0">
      <extLst>
        <ext xmlns:x15="http://schemas.microsoft.com/office/spreadsheetml/2010/11/main" uri="{B97F6D7D-B522-45F9-BDA1-12C45D357490}">
          <x15:cacheHierarchy aggregatedColumn="18"/>
        </ext>
      </extLst>
    </cacheHierarchy>
    <cacheHierarchy uniqueName="[Measures].[Sum of الإجمالي_الفرعي]" caption="Sum of الإجمالي_الفرعي" measure="1" displayFolder="" measureGroup="جدول_المبيعات" count="0">
      <extLst>
        <ext xmlns:x15="http://schemas.microsoft.com/office/spreadsheetml/2010/11/main" uri="{B97F6D7D-B522-45F9-BDA1-12C45D357490}">
          <x15:cacheHierarchy aggregatedColumn="14"/>
        </ext>
      </extLst>
    </cacheHierarchy>
    <cacheHierarchy uniqueName="[Measures].[Sum of سعر_الوحدة]" caption="Sum of سعر_الوحدة" measure="1" displayFolder="" measureGroup="جدول_المبيعات" count="0">
      <extLst>
        <ext xmlns:x15="http://schemas.microsoft.com/office/spreadsheetml/2010/11/main" uri="{B97F6D7D-B522-45F9-BDA1-12C45D357490}">
          <x15:cacheHierarchy aggregatedColumn="13"/>
        </ext>
      </extLst>
    </cacheHierarchy>
    <cacheHierarchy uniqueName="[Measures].[Sum of الكمية]" caption="Sum of الكمية" measure="1" displayFolder="" measureGroup="جدول_المبيعات" count="0">
      <extLst>
        <ext xmlns:x15="http://schemas.microsoft.com/office/spreadsheetml/2010/11/main" uri="{B97F6D7D-B522-45F9-BDA1-12C45D357490}">
          <x15:cacheHierarchy aggregatedColumn="12"/>
        </ext>
      </extLst>
    </cacheHierarchy>
    <cacheHierarchy uniqueName="[Measures].[صافى الربح]" caption="صافى الربح" measure="1" displayFolder="" measureGroup="جدول_المبيعات" count="0"/>
    <cacheHierarchy uniqueName="[Measures].[متوسط الربح]" caption="متوسط الربح" measure="1" displayFolder="" measureGroup="جدول_المبيعات" count="0"/>
    <cacheHierarchy uniqueName="[Measures].[__XL_Count جدول_المبيعات]" caption="__XL_Count جدول_المبيعات" measure="1" displayFolder="" measureGroup="جدول_المبيعات" count="0" hidden="1"/>
    <cacheHierarchy uniqueName="[Measures].[__XL_Count جدول_المنتجات]" caption="__XL_Count جدول_المنتجات" measure="1" displayFolder="" measureGroup="جدول_المنتجات" count="0" hidden="1"/>
    <cacheHierarchy uniqueName="[Measures].[__XL_Count جدول_العملاء]" caption="__XL_Count جدول_العملاء" measure="1" displayFolder="" measureGroup="جدول_العملاء" count="0" hidden="1"/>
    <cacheHierarchy uniqueName="[Measures].[__XL_Count جدول_الفروع]" caption="__XL_Count جدول_الفروع" measure="1" displayFolder="" measureGroup="جدول_الفروع" count="0" hidden="1"/>
    <cacheHierarchy uniqueName="[Measures].[__No measures defined]" caption="__No measures defined" measure="1" displayFolder="" count="0" hidden="1"/>
  </cacheHierarchies>
  <kpis count="0"/>
  <dimensions count="5">
    <dimension measure="1" name="Measures" uniqueName="[Measures]" caption="Measures"/>
    <dimension name="جدول_العملاء" uniqueName="[جدول_العملاء]" caption="جدول_العملاء"/>
    <dimension name="جدول_الفروع" uniqueName="[جدول_الفروع]" caption="جدول_الفروع"/>
    <dimension name="جدول_المبيعات" uniqueName="[جدول_المبيعات]" caption="جدول_المبيعات"/>
    <dimension name="جدول_المنتجات" uniqueName="[جدول_المنتجات]" caption="جدول_المنتجات"/>
  </dimensions>
  <measureGroups count="4">
    <measureGroup name="جدول_العملاء" caption="جدول_العملاء"/>
    <measureGroup name="جدول_الفروع" caption="جدول_الفروع"/>
    <measureGroup name="جدول_المبيعات" caption="جدول_المبيعات"/>
    <measureGroup name="جدول_المنتجات" caption="جدول_المنتجات"/>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 حسين" refreshedDate="46275.97133576389" backgroundQuery="1" createdVersion="8" refreshedVersion="8" minRefreshableVersion="3" recordCount="0" supportSubquery="1" supportAdvancedDrill="1" xr:uid="{800301F7-2C83-45AF-AEB1-FBDE87FE854D}">
  <cacheSource type="external" connectionId="5"/>
  <cacheFields count="2">
    <cacheField name="[Measures].[Sum of الإجمالي_الكلّي]" caption="Sum of الإجمالي_الكلّي" numFmtId="0" hierarchy="28" level="32767"/>
    <cacheField name="[جدول_المنتجات].[الفئة].[الفئة]" caption="الفئة" numFmtId="0" hierarchy="25" level="1">
      <sharedItems count="3">
        <s v="أثاث مكتب"/>
        <s v="إلكترونيات"/>
        <s v="ملحقات"/>
      </sharedItems>
    </cacheField>
  </cacheFields>
  <cacheHierarchies count="40">
    <cacheHierarchy uniqueName="[جدول_العملاء].[معرف_العميل]" caption="معرف_العميل" attribute="1" defaultMemberUniqueName="[جدول_العملاء].[معرف_العميل].[All]" allUniqueName="[جدول_العملاء].[معرف_العميل].[All]" dimensionUniqueName="[جدول_العملاء]" displayFolder="" count="2" memberValueDatatype="130" unbalanced="0"/>
    <cacheHierarchy uniqueName="[جدول_العملاء].[اسم_العميل]" caption="اسم_العميل" attribute="1" defaultMemberUniqueName="[جدول_العملاء].[اسم_العميل].[All]" allUniqueName="[جدول_العملاء].[اسم_العميل].[All]" dimensionUniqueName="[جدول_العملاء]" displayFolder="" count="2" memberValueDatatype="130" unbalanced="0"/>
    <cacheHierarchy uniqueName="[جدول_العملاء].[القطاع]" caption="القطاع" attribute="1" defaultMemberUniqueName="[جدول_العملاء].[القطاع].[All]" allUniqueName="[جدول_العملاء].[القطاع].[All]" dimensionUniqueName="[جدول_العملاء]" displayFolder="" count="2" memberValueDatatype="130" unbalanced="0"/>
    <cacheHierarchy uniqueName="[جدول_العملاء].[المدينة]" caption="المدينة" attribute="1" defaultMemberUniqueName="[جدول_العملاء].[المدينة].[All]" allUniqueName="[جدول_العملاء].[المدينة].[All]" dimensionUniqueName="[جدول_العملاء]" displayFolder="" count="2" memberValueDatatype="130" unbalanced="0"/>
    <cacheHierarchy uniqueName="[جدول_الفروع].[معرف_الفرع]" caption="معرف_الفرع" attribute="1" defaultMemberUniqueName="[جدول_الفروع].[معرف_الفرع].[All]" allUniqueName="[جدول_الفروع].[معرف_الفرع].[All]" dimensionUniqueName="[جدول_الفروع]" displayFolder="" count="2" memberValueDatatype="130" unbalanced="0"/>
    <cacheHierarchy uniqueName="[جدول_الفروع].[اسم_الفرع]" caption="اسم_الفرع" attribute="1" defaultMemberUniqueName="[جدول_الفروع].[اسم_الفرع].[All]" allUniqueName="[جدول_الفروع].[اسم_الفرع].[All]" dimensionUniqueName="[جدول_الفروع]" displayFolder="" count="2" memberValueDatatype="130" unbalanced="0"/>
    <cacheHierarchy uniqueName="[جدول_الفروع].[الإقليم]" caption="الإقليم" attribute="1" defaultMemberUniqueName="[جدول_الفروع].[الإقليم].[All]" allUniqueName="[جدول_الفروع].[الإقليم].[All]" dimensionUniqueName="[جدول_الفروع]" displayFolder="" count="2" memberValueDatatype="130" unbalanced="0"/>
    <cacheHierarchy uniqueName="[جدول_المبيعات].[معرف_الطلب]" caption="معرف_الطلب" attribute="1" defaultMemberUniqueName="[جدول_المبيعات].[معرف_الطلب].[All]" allUniqueName="[جدول_المبيعات].[معرف_الطلب].[All]" dimensionUniqueName="[جدول_المبيعات]" displayFolder="" count="2" memberValueDatatype="20" unbalanced="0"/>
    <cacheHierarchy uniqueName="[جدول_المبيعات].[تاريخ_الطلب]" caption="تاريخ_الطلب" attribute="1" time="1" defaultMemberUniqueName="[جدول_المبيعات].[تاريخ_الطلب].[All]" allUniqueName="[جدول_المبيعات].[تاريخ_الطلب].[All]" dimensionUniqueName="[جدول_المبيعات]" displayFolder="" count="2" memberValueDatatype="7" unbalanced="0"/>
    <cacheHierarchy uniqueName="[جدول_المبيعات].[معرف_العميل]" caption="معرف_العميل" attribute="1" defaultMemberUniqueName="[جدول_المبيعات].[معرف_العميل].[All]" allUniqueName="[جدول_المبيعات].[معرف_العميل].[All]" dimensionUniqueName="[جدول_المبيعات]" displayFolder="" count="2" memberValueDatatype="130" unbalanced="0"/>
    <cacheHierarchy uniqueName="[جدول_المبيعات].[معرف_المنتج]" caption="معرف_المنتج" attribute="1" defaultMemberUniqueName="[جدول_المبيعات].[معرف_المنتج].[All]" allUniqueName="[جدول_المبيعات].[معرف_المنتج].[All]" dimensionUniqueName="[جدول_المبيعات]" displayFolder="" count="2" memberValueDatatype="130" unbalanced="0"/>
    <cacheHierarchy uniqueName="[جدول_المبيعات].[معرف_الفرع]" caption="معرف_الفرع" attribute="1" defaultMemberUniqueName="[جدول_المبيعات].[معرف_الفرع].[All]" allUniqueName="[جدول_المبيعات].[معرف_الفرع].[All]" dimensionUniqueName="[جدول_المبيعات]" displayFolder="" count="2" memberValueDatatype="130" unbalanced="0"/>
    <cacheHierarchy uniqueName="[جدول_المبيعات].[الكمية]" caption="الكمية" attribute="1" defaultMemberUniqueName="[جدول_المبيعات].[الكمية].[All]" allUniqueName="[جدول_المبيعات].[الكمية].[All]" dimensionUniqueName="[جدول_المبيعات]" displayFolder="" count="2" memberValueDatatype="20" unbalanced="0"/>
    <cacheHierarchy uniqueName="[جدول_المبيعات].[سعر_الوحدة]" caption="سعر_الوحدة" attribute="1" defaultMemberUniqueName="[جدول_المبيعات].[سعر_الوحدة].[All]" allUniqueName="[جدول_المبيعات].[سعر_الوحدة].[All]" dimensionUniqueName="[جدول_المبيعات]" displayFolder="" count="2" memberValueDatatype="20" unbalanced="0"/>
    <cacheHierarchy uniqueName="[جدول_المبيعات].[الإجمالي_الفرعي]" caption="الإجمالي_الفرعي" attribute="1" defaultMemberUniqueName="[جدول_المبيعات].[الإجمالي_الفرعي].[All]" allUniqueName="[جدول_المبيعات].[الإجمالي_الفرعي].[All]" dimensionUniqueName="[جدول_المبيعات]" displayFolder="" count="2" memberValueDatatype="20" unbalanced="0"/>
    <cacheHierarchy uniqueName="[جدول_المبيعات].[نسبة_الخصم]" caption="نسبة_الخصم" attribute="1" defaultMemberUniqueName="[جدول_المبيعات].[نسبة_الخصم].[All]" allUniqueName="[جدول_المبيعات].[نسبة_الخصم].[All]" dimensionUniqueName="[جدول_المبيعات]" displayFolder="" count="2" memberValueDatatype="5" unbalanced="0"/>
    <cacheHierarchy uniqueName="[جدول_المبيعات].[قيمة_الخصم]" caption="قيمة_الخصم" attribute="1" defaultMemberUniqueName="[جدول_المبيعات].[قيمة_الخصم].[All]" allUniqueName="[جدول_المبيعات].[قيمة_الخصم].[All]" dimensionUniqueName="[جدول_المبيعات]" displayFolder="" count="2" memberValueDatatype="5" unbalanced="0"/>
    <cacheHierarchy uniqueName="[جدول_المبيعات].[قيمة_الضريبة]" caption="قيمة_الضريبة" attribute="1" defaultMemberUniqueName="[جدول_المبيعات].[قيمة_الضريبة].[All]" allUniqueName="[جدول_المبيعات].[قيمة_الضريبة].[All]" dimensionUniqueName="[جدول_المبيعات]" displayFolder="" count="2" memberValueDatatype="5" unbalanced="0"/>
    <cacheHierarchy uniqueName="[جدول_المبيعات].[تكلفة_الشحن]" caption="تكلفة_الشحن" attribute="1" defaultMemberUniqueName="[جدول_المبيعات].[تكلفة_الشحن].[All]" allUniqueName="[جدول_المبيعات].[تكلفة_الشحن].[All]" dimensionUniqueName="[جدول_المبيعات]" displayFolder="" count="2" memberValueDatatype="20" unbalanced="0"/>
    <cacheHierarchy uniqueName="[جدول_المبيعات].[الإجمالي_الكلّي]" caption="الإجمالي_الكلّي" attribute="1" defaultMemberUniqueName="[جدول_المبيعات].[الإجمالي_الكلّي].[All]" allUniqueName="[جدول_المبيعات].[الإجمالي_الكلّي].[All]" dimensionUniqueName="[جدول_المبيعات]" displayFolder="" count="2" memberValueDatatype="5" unbalanced="0"/>
    <cacheHierarchy uniqueName="[جدول_المبيعات].[طريقة_الدفع]" caption="طريقة_الدفع" attribute="1" defaultMemberUniqueName="[جدول_المبيعات].[طريقة_الدفع].[All]" allUniqueName="[جدول_المبيعات].[طريقة_الدفع].[All]" dimensionUniqueName="[جدول_المبيعات]" displayFolder="" count="2" memberValueDatatype="130" unbalanced="0"/>
    <cacheHierarchy uniqueName="[جدول_المبيعات].[حالة_الطلب]" caption="حالة_الطلب" attribute="1" defaultMemberUniqueName="[جدول_المبيعات].[حالة_الطلب].[All]" allUniqueName="[جدول_المبيعات].[حالة_الطلب].[All]" dimensionUniqueName="[جدول_المبيعات]" displayFolder="" count="2" memberValueDatatype="130" unbalanced="0"/>
    <cacheHierarchy uniqueName="[جدول_المبيعات].[تاريخ_الطلب (Month)]" caption="تاريخ_الطلب (Month)" attribute="1" defaultMemberUniqueName="[جدول_المبيعات].[تاريخ_الطلب (Month)].[All]" allUniqueName="[جدول_المبيعات].[تاريخ_الطلب (Month)].[All]" dimensionUniqueName="[جدول_المبيعات]" displayFolder="" count="2" memberValueDatatype="130" unbalanced="0"/>
    <cacheHierarchy uniqueName="[جدول_المنتجات].[معرف_المنتج]" caption="معرف_المنتج" attribute="1" defaultMemberUniqueName="[جدول_المنتجات].[معرف_المنتج].[All]" allUniqueName="[جدول_المنتجات].[معرف_المنتج].[All]" dimensionUniqueName="[جدول_المنتجات]" displayFolder="" count="2" memberValueDatatype="130" unbalanced="0"/>
    <cacheHierarchy uniqueName="[جدول_المنتجات].[اسم_المنتج]" caption="اسم_المنتج" attribute="1" defaultMemberUniqueName="[جدول_المنتجات].[اسم_المنتج].[All]" allUniqueName="[جدول_المنتجات].[اسم_المنتج].[All]" dimensionUniqueName="[جدول_المنتجات]" displayFolder="" count="2" memberValueDatatype="130" unbalanced="0"/>
    <cacheHierarchy uniqueName="[جدول_المنتجات].[الفئة]" caption="الفئة" attribute="1" defaultMemberUniqueName="[جدول_المنتجات].[الفئة].[All]" allUniqueName="[جدول_المنتجات].[الفئة].[All]" dimensionUniqueName="[جدول_المنتجات]" displayFolder="" count="2" memberValueDatatype="130" unbalanced="0">
      <fieldsUsage count="2">
        <fieldUsage x="-1"/>
        <fieldUsage x="1"/>
      </fieldsUsage>
    </cacheHierarchy>
    <cacheHierarchy uniqueName="[جدول_المنتجات].[سعر_الوحدة]" caption="سعر_الوحدة" attribute="1" defaultMemberUniqueName="[جدول_المنتجات].[سعر_الوحدة].[All]" allUniqueName="[جدول_المنتجات].[سعر_الوحدة].[All]" dimensionUniqueName="[جدول_المنتجات]" displayFolder="" count="2" memberValueDatatype="130" unbalanced="0"/>
    <cacheHierarchy uniqueName="[جدول_المبيعات].[تاريخ_الطلب (Month Index)]" caption="تاريخ_الطلب (Month Index)" attribute="1" defaultMemberUniqueName="[جدول_المبيعات].[تاريخ_الطلب (Month Index)].[All]" allUniqueName="[جدول_المبيعات].[تاريخ_الطلب (Month Index)].[All]" dimensionUniqueName="[جدول_المبيعات]" displayFolder="" count="2" memberValueDatatype="20" unbalanced="0" hidden="1"/>
    <cacheHierarchy uniqueName="[Measures].[Sum of الإجمالي_الكلّي]" caption="Sum of الإجمالي_الكلّي" measure="1" displayFolder="" measureGroup="جدول_المبيعات" count="0" oneField="1">
      <fieldsUsage count="1">
        <fieldUsage x="0"/>
      </fieldsUsage>
      <extLst>
        <ext xmlns:x15="http://schemas.microsoft.com/office/spreadsheetml/2010/11/main" uri="{B97F6D7D-B522-45F9-BDA1-12C45D357490}">
          <x15:cacheHierarchy aggregatedColumn="19"/>
        </ext>
      </extLst>
    </cacheHierarchy>
    <cacheHierarchy uniqueName="[Measures].[Sum of تكلفة_الشحن]" caption="Sum of تكلفة_الشحن" measure="1" displayFolder="" measureGroup="جدول_المبيعات" count="0">
      <extLst>
        <ext xmlns:x15="http://schemas.microsoft.com/office/spreadsheetml/2010/11/main" uri="{B97F6D7D-B522-45F9-BDA1-12C45D357490}">
          <x15:cacheHierarchy aggregatedColumn="18"/>
        </ext>
      </extLst>
    </cacheHierarchy>
    <cacheHierarchy uniqueName="[Measures].[Sum of الإجمالي_الفرعي]" caption="Sum of الإجمالي_الفرعي" measure="1" displayFolder="" measureGroup="جدول_المبيعات" count="0">
      <extLst>
        <ext xmlns:x15="http://schemas.microsoft.com/office/spreadsheetml/2010/11/main" uri="{B97F6D7D-B522-45F9-BDA1-12C45D357490}">
          <x15:cacheHierarchy aggregatedColumn="14"/>
        </ext>
      </extLst>
    </cacheHierarchy>
    <cacheHierarchy uniqueName="[Measures].[Sum of سعر_الوحدة]" caption="Sum of سعر_الوحدة" measure="1" displayFolder="" measureGroup="جدول_المبيعات" count="0">
      <extLst>
        <ext xmlns:x15="http://schemas.microsoft.com/office/spreadsheetml/2010/11/main" uri="{B97F6D7D-B522-45F9-BDA1-12C45D357490}">
          <x15:cacheHierarchy aggregatedColumn="13"/>
        </ext>
      </extLst>
    </cacheHierarchy>
    <cacheHierarchy uniqueName="[Measures].[Sum of الكمية]" caption="Sum of الكمية" measure="1" displayFolder="" measureGroup="جدول_المبيعات" count="0">
      <extLst>
        <ext xmlns:x15="http://schemas.microsoft.com/office/spreadsheetml/2010/11/main" uri="{B97F6D7D-B522-45F9-BDA1-12C45D357490}">
          <x15:cacheHierarchy aggregatedColumn="12"/>
        </ext>
      </extLst>
    </cacheHierarchy>
    <cacheHierarchy uniqueName="[Measures].[صافى الربح]" caption="صافى الربح" measure="1" displayFolder="" measureGroup="جدول_المبيعات" count="0"/>
    <cacheHierarchy uniqueName="[Measures].[متوسط الربح]" caption="متوسط الربح" measure="1" displayFolder="" measureGroup="جدول_المبيعات" count="0"/>
    <cacheHierarchy uniqueName="[Measures].[__XL_Count جدول_المبيعات]" caption="__XL_Count جدول_المبيعات" measure="1" displayFolder="" measureGroup="جدول_المبيعات" count="0" hidden="1"/>
    <cacheHierarchy uniqueName="[Measures].[__XL_Count جدول_المنتجات]" caption="__XL_Count جدول_المنتجات" measure="1" displayFolder="" measureGroup="جدول_المنتجات" count="0" hidden="1"/>
    <cacheHierarchy uniqueName="[Measures].[__XL_Count جدول_العملاء]" caption="__XL_Count جدول_العملاء" measure="1" displayFolder="" measureGroup="جدول_العملاء" count="0" hidden="1"/>
    <cacheHierarchy uniqueName="[Measures].[__XL_Count جدول_الفروع]" caption="__XL_Count جدول_الفروع" measure="1" displayFolder="" measureGroup="جدول_الفروع" count="0" hidden="1"/>
    <cacheHierarchy uniqueName="[Measures].[__No measures defined]" caption="__No measures defined" measure="1" displayFolder="" count="0" hidden="1"/>
  </cacheHierarchies>
  <kpis count="0"/>
  <dimensions count="5">
    <dimension measure="1" name="Measures" uniqueName="[Measures]" caption="Measures"/>
    <dimension name="جدول_العملاء" uniqueName="[جدول_العملاء]" caption="جدول_العملاء"/>
    <dimension name="جدول_الفروع" uniqueName="[جدول_الفروع]" caption="جدول_الفروع"/>
    <dimension name="جدول_المبيعات" uniqueName="[جدول_المبيعات]" caption="جدول_المبيعات"/>
    <dimension name="جدول_المنتجات" uniqueName="[جدول_المنتجات]" caption="جدول_المنتجات"/>
  </dimensions>
  <measureGroups count="4">
    <measureGroup name="جدول_العملاء" caption="جدول_العملاء"/>
    <measureGroup name="جدول_الفروع" caption="جدول_الفروع"/>
    <measureGroup name="جدول_المبيعات" caption="جدول_المبيعات"/>
    <measureGroup name="جدول_المنتجات" caption="جدول_المنتجات"/>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 حسين" refreshedDate="46275.971336574075" backgroundQuery="1" createdVersion="8" refreshedVersion="8" minRefreshableVersion="3" recordCount="0" supportSubquery="1" supportAdvancedDrill="1" xr:uid="{BECD9D23-877D-4F5A-94F1-11ADE37424BE}">
  <cacheSource type="external" connectionId="5"/>
  <cacheFields count="3">
    <cacheField name="[Measures].[Sum of الإجمالي_الكلّي]" caption="Sum of الإجمالي_الكلّي" numFmtId="0" hierarchy="28" level="32767"/>
    <cacheField name="[جدول_الفروع].[الإقليم].[الإقليم]" caption="الإقليم" numFmtId="0" hierarchy="6" level="1">
      <sharedItems count="4">
        <s v="الإسكندرية"/>
        <s v="الدلتا"/>
        <s v="القاهرة الكبرى"/>
        <s v="القناة"/>
      </sharedItems>
    </cacheField>
    <cacheField name="[جدول_المنتجات].[الفئة].[الفئة]" caption="الفئة" numFmtId="0" hierarchy="25" level="1">
      <sharedItems containsSemiMixedTypes="0" containsNonDate="0" containsString="0"/>
    </cacheField>
  </cacheFields>
  <cacheHierarchies count="40">
    <cacheHierarchy uniqueName="[جدول_العملاء].[معرف_العميل]" caption="معرف_العميل" attribute="1" defaultMemberUniqueName="[جدول_العملاء].[معرف_العميل].[All]" allUniqueName="[جدول_العملاء].[معرف_العميل].[All]" dimensionUniqueName="[جدول_العملاء]" displayFolder="" count="0" memberValueDatatype="130" unbalanced="0"/>
    <cacheHierarchy uniqueName="[جدول_العملاء].[اسم_العميل]" caption="اسم_العميل" attribute="1" defaultMemberUniqueName="[جدول_العملاء].[اسم_العميل].[All]" allUniqueName="[جدول_العملاء].[اسم_العميل].[All]" dimensionUniqueName="[جدول_العملاء]" displayFolder="" count="0" memberValueDatatype="130" unbalanced="0"/>
    <cacheHierarchy uniqueName="[جدول_العملاء].[القطاع]" caption="القطاع" attribute="1" defaultMemberUniqueName="[جدول_العملاء].[القطاع].[All]" allUniqueName="[جدول_العملاء].[القطاع].[All]" dimensionUniqueName="[جدول_العملاء]" displayFolder="" count="0" memberValueDatatype="130" unbalanced="0"/>
    <cacheHierarchy uniqueName="[جدول_العملاء].[المدينة]" caption="المدينة" attribute="1" defaultMemberUniqueName="[جدول_العملاء].[المدينة].[All]" allUniqueName="[جدول_العملاء].[المدينة].[All]" dimensionUniqueName="[جدول_العملاء]" displayFolder="" count="0" memberValueDatatype="130" unbalanced="0"/>
    <cacheHierarchy uniqueName="[جدول_الفروع].[معرف_الفرع]" caption="معرف_الفرع" attribute="1" defaultMemberUniqueName="[جدول_الفروع].[معرف_الفرع].[All]" allUniqueName="[جدول_الفروع].[معرف_الفرع].[All]" dimensionUniqueName="[جدول_الفروع]" displayFolder="" count="0" memberValueDatatype="130" unbalanced="0"/>
    <cacheHierarchy uniqueName="[جدول_الفروع].[اسم_الفرع]" caption="اسم_الفرع" attribute="1" defaultMemberUniqueName="[جدول_الفروع].[اسم_الفرع].[All]" allUniqueName="[جدول_الفروع].[اسم_الفرع].[All]" dimensionUniqueName="[جدول_الفروع]" displayFolder="" count="0" memberValueDatatype="130" unbalanced="0"/>
    <cacheHierarchy uniqueName="[جدول_الفروع].[الإقليم]" caption="الإقليم" attribute="1" defaultMemberUniqueName="[جدول_الفروع].[الإقليم].[All]" allUniqueName="[جدول_الفروع].[الإقليم].[All]" dimensionUniqueName="[جدول_الفروع]" displayFolder="" count="2" memberValueDatatype="130" unbalanced="0">
      <fieldsUsage count="2">
        <fieldUsage x="-1"/>
        <fieldUsage x="1"/>
      </fieldsUsage>
    </cacheHierarchy>
    <cacheHierarchy uniqueName="[جدول_المبيعات].[معرف_الطلب]" caption="معرف_الطلب" attribute="1" defaultMemberUniqueName="[جدول_المبيعات].[معرف_الطلب].[All]" allUniqueName="[جدول_المبيعات].[معرف_الطلب].[All]" dimensionUniqueName="[جدول_المبيعات]" displayFolder="" count="0" memberValueDatatype="20" unbalanced="0"/>
    <cacheHierarchy uniqueName="[جدول_المبيعات].[تاريخ_الطلب]" caption="تاريخ_الطلب" attribute="1" time="1" defaultMemberUniqueName="[جدول_المبيعات].[تاريخ_الطلب].[All]" allUniqueName="[جدول_المبيعات].[تاريخ_الطلب].[All]" dimensionUniqueName="[جدول_المبيعات]" displayFolder="" count="0" memberValueDatatype="7" unbalanced="0"/>
    <cacheHierarchy uniqueName="[جدول_المبيعات].[معرف_العميل]" caption="معرف_العميل" attribute="1" defaultMemberUniqueName="[جدول_المبيعات].[معرف_العميل].[All]" allUniqueName="[جدول_المبيعات].[معرف_العميل].[All]" dimensionUniqueName="[جدول_المبيعات]" displayFolder="" count="0" memberValueDatatype="130" unbalanced="0"/>
    <cacheHierarchy uniqueName="[جدول_المبيعات].[معرف_المنتج]" caption="معرف_المنتج" attribute="1" defaultMemberUniqueName="[جدول_المبيعات].[معرف_المنتج].[All]" allUniqueName="[جدول_المبيعات].[معرف_المنتج].[All]" dimensionUniqueName="[جدول_المبيعات]" displayFolder="" count="0" memberValueDatatype="130" unbalanced="0"/>
    <cacheHierarchy uniqueName="[جدول_المبيعات].[معرف_الفرع]" caption="معرف_الفرع" attribute="1" defaultMemberUniqueName="[جدول_المبيعات].[معرف_الفرع].[All]" allUniqueName="[جدول_المبيعات].[معرف_الفرع].[All]" dimensionUniqueName="[جدول_المبيعات]" displayFolder="" count="0" memberValueDatatype="130" unbalanced="0"/>
    <cacheHierarchy uniqueName="[جدول_المبيعات].[الكمية]" caption="الكمية" attribute="1" defaultMemberUniqueName="[جدول_المبيعات].[الكمية].[All]" allUniqueName="[جدول_المبيعات].[الكمية].[All]" dimensionUniqueName="[جدول_المبيعات]" displayFolder="" count="0" memberValueDatatype="20" unbalanced="0"/>
    <cacheHierarchy uniqueName="[جدول_المبيعات].[سعر_الوحدة]" caption="سعر_الوحدة" attribute="1" defaultMemberUniqueName="[جدول_المبيعات].[سعر_الوحدة].[All]" allUniqueName="[جدول_المبيعات].[سعر_الوحدة].[All]" dimensionUniqueName="[جدول_المبيعات]" displayFolder="" count="0" memberValueDatatype="20" unbalanced="0"/>
    <cacheHierarchy uniqueName="[جدول_المبيعات].[الإجمالي_الفرعي]" caption="الإجمالي_الفرعي" attribute="1" defaultMemberUniqueName="[جدول_المبيعات].[الإجمالي_الفرعي].[All]" allUniqueName="[جدول_المبيعات].[الإجمالي_الفرعي].[All]" dimensionUniqueName="[جدول_المبيعات]" displayFolder="" count="0" memberValueDatatype="20" unbalanced="0"/>
    <cacheHierarchy uniqueName="[جدول_المبيعات].[نسبة_الخصم]" caption="نسبة_الخصم" attribute="1" defaultMemberUniqueName="[جدول_المبيعات].[نسبة_الخصم].[All]" allUniqueName="[جدول_المبيعات].[نسبة_الخصم].[All]" dimensionUniqueName="[جدول_المبيعات]" displayFolder="" count="0" memberValueDatatype="5" unbalanced="0"/>
    <cacheHierarchy uniqueName="[جدول_المبيعات].[قيمة_الخصم]" caption="قيمة_الخصم" attribute="1" defaultMemberUniqueName="[جدول_المبيعات].[قيمة_الخصم].[All]" allUniqueName="[جدول_المبيعات].[قيمة_الخصم].[All]" dimensionUniqueName="[جدول_المبيعات]" displayFolder="" count="0" memberValueDatatype="5" unbalanced="0"/>
    <cacheHierarchy uniqueName="[جدول_المبيعات].[قيمة_الضريبة]" caption="قيمة_الضريبة" attribute="1" defaultMemberUniqueName="[جدول_المبيعات].[قيمة_الضريبة].[All]" allUniqueName="[جدول_المبيعات].[قيمة_الضريبة].[All]" dimensionUniqueName="[جدول_المبيعات]" displayFolder="" count="0" memberValueDatatype="5" unbalanced="0"/>
    <cacheHierarchy uniqueName="[جدول_المبيعات].[تكلفة_الشحن]" caption="تكلفة_الشحن" attribute="1" defaultMemberUniqueName="[جدول_المبيعات].[تكلفة_الشحن].[All]" allUniqueName="[جدول_المبيعات].[تكلفة_الشحن].[All]" dimensionUniqueName="[جدول_المبيعات]" displayFolder="" count="0" memberValueDatatype="20" unbalanced="0"/>
    <cacheHierarchy uniqueName="[جدول_المبيعات].[الإجمالي_الكلّي]" caption="الإجمالي_الكلّي" attribute="1" defaultMemberUniqueName="[جدول_المبيعات].[الإجمالي_الكلّي].[All]" allUniqueName="[جدول_المبيعات].[الإجمالي_الكلّي].[All]" dimensionUniqueName="[جدول_المبيعات]" displayFolder="" count="0" memberValueDatatype="5" unbalanced="0"/>
    <cacheHierarchy uniqueName="[جدول_المبيعات].[طريقة_الدفع]" caption="طريقة_الدفع" attribute="1" defaultMemberUniqueName="[جدول_المبيعات].[طريقة_الدفع].[All]" allUniqueName="[جدول_المبيعات].[طريقة_الدفع].[All]" dimensionUniqueName="[جدول_المبيعات]" displayFolder="" count="0" memberValueDatatype="130" unbalanced="0"/>
    <cacheHierarchy uniqueName="[جدول_المبيعات].[حالة_الطلب]" caption="حالة_الطلب" attribute="1" defaultMemberUniqueName="[جدول_المبيعات].[حالة_الطلب].[All]" allUniqueName="[جدول_المبيعات].[حالة_الطلب].[All]" dimensionUniqueName="[جدول_المبيعات]" displayFolder="" count="0" memberValueDatatype="130" unbalanced="0"/>
    <cacheHierarchy uniqueName="[جدول_المبيعات].[تاريخ_الطلب (Month)]" caption="تاريخ_الطلب (Month)" attribute="1" defaultMemberUniqueName="[جدول_المبيعات].[تاريخ_الطلب (Month)].[All]" allUniqueName="[جدول_المبيعات].[تاريخ_الطلب (Month)].[All]" dimensionUniqueName="[جدول_المبيعات]" displayFolder="" count="0" memberValueDatatype="130" unbalanced="0"/>
    <cacheHierarchy uniqueName="[جدول_المنتجات].[معرف_المنتج]" caption="معرف_المنتج" attribute="1" defaultMemberUniqueName="[جدول_المنتجات].[معرف_المنتج].[All]" allUniqueName="[جدول_المنتجات].[معرف_المنتج].[All]" dimensionUniqueName="[جدول_المنتجات]" displayFolder="" count="0" memberValueDatatype="130" unbalanced="0"/>
    <cacheHierarchy uniqueName="[جدول_المنتجات].[اسم_المنتج]" caption="اسم_المنتج" attribute="1" defaultMemberUniqueName="[جدول_المنتجات].[اسم_المنتج].[All]" allUniqueName="[جدول_المنتجات].[اسم_المنتج].[All]" dimensionUniqueName="[جدول_المنتجات]" displayFolder="" count="0" memberValueDatatype="130" unbalanced="0"/>
    <cacheHierarchy uniqueName="[جدول_المنتجات].[الفئة]" caption="الفئة" attribute="1" defaultMemberUniqueName="[جدول_المنتجات].[الفئة].[All]" allUniqueName="[جدول_المنتجات].[الفئة].[All]" dimensionUniqueName="[جدول_المنتجات]" displayFolder="" count="2" memberValueDatatype="130" unbalanced="0">
      <fieldsUsage count="2">
        <fieldUsage x="-1"/>
        <fieldUsage x="2"/>
      </fieldsUsage>
    </cacheHierarchy>
    <cacheHierarchy uniqueName="[جدول_المنتجات].[سعر_الوحدة]" caption="سعر_الوحدة" attribute="1" defaultMemberUniqueName="[جدول_المنتجات].[سعر_الوحدة].[All]" allUniqueName="[جدول_المنتجات].[سعر_الوحدة].[All]" dimensionUniqueName="[جدول_المنتجات]" displayFolder="" count="0" memberValueDatatype="130" unbalanced="0"/>
    <cacheHierarchy uniqueName="[جدول_المبيعات].[تاريخ_الطلب (Month Index)]" caption="تاريخ_الطلب (Month Index)" attribute="1" defaultMemberUniqueName="[جدول_المبيعات].[تاريخ_الطلب (Month Index)].[All]" allUniqueName="[جدول_المبيعات].[تاريخ_الطلب (Month Index)].[All]" dimensionUniqueName="[جدول_المبيعات]" displayFolder="" count="0" memberValueDatatype="20" unbalanced="0" hidden="1"/>
    <cacheHierarchy uniqueName="[Measures].[Sum of الإجمالي_الكلّي]" caption="Sum of الإجمالي_الكلّي" measure="1" displayFolder="" measureGroup="جدول_المبيعات" count="0" oneField="1">
      <fieldsUsage count="1">
        <fieldUsage x="0"/>
      </fieldsUsage>
      <extLst>
        <ext xmlns:x15="http://schemas.microsoft.com/office/spreadsheetml/2010/11/main" uri="{B97F6D7D-B522-45F9-BDA1-12C45D357490}">
          <x15:cacheHierarchy aggregatedColumn="19"/>
        </ext>
      </extLst>
    </cacheHierarchy>
    <cacheHierarchy uniqueName="[Measures].[Sum of تكلفة_الشحن]" caption="Sum of تكلفة_الشحن" measure="1" displayFolder="" measureGroup="جدول_المبيعات" count="0">
      <extLst>
        <ext xmlns:x15="http://schemas.microsoft.com/office/spreadsheetml/2010/11/main" uri="{B97F6D7D-B522-45F9-BDA1-12C45D357490}">
          <x15:cacheHierarchy aggregatedColumn="18"/>
        </ext>
      </extLst>
    </cacheHierarchy>
    <cacheHierarchy uniqueName="[Measures].[Sum of الإجمالي_الفرعي]" caption="Sum of الإجمالي_الفرعي" measure="1" displayFolder="" measureGroup="جدول_المبيعات" count="0">
      <extLst>
        <ext xmlns:x15="http://schemas.microsoft.com/office/spreadsheetml/2010/11/main" uri="{B97F6D7D-B522-45F9-BDA1-12C45D357490}">
          <x15:cacheHierarchy aggregatedColumn="14"/>
        </ext>
      </extLst>
    </cacheHierarchy>
    <cacheHierarchy uniqueName="[Measures].[Sum of سعر_الوحدة]" caption="Sum of سعر_الوحدة" measure="1" displayFolder="" measureGroup="جدول_المبيعات" count="0">
      <extLst>
        <ext xmlns:x15="http://schemas.microsoft.com/office/spreadsheetml/2010/11/main" uri="{B97F6D7D-B522-45F9-BDA1-12C45D357490}">
          <x15:cacheHierarchy aggregatedColumn="13"/>
        </ext>
      </extLst>
    </cacheHierarchy>
    <cacheHierarchy uniqueName="[Measures].[Sum of الكمية]" caption="Sum of الكمية" measure="1" displayFolder="" measureGroup="جدول_المبيعات" count="0">
      <extLst>
        <ext xmlns:x15="http://schemas.microsoft.com/office/spreadsheetml/2010/11/main" uri="{B97F6D7D-B522-45F9-BDA1-12C45D357490}">
          <x15:cacheHierarchy aggregatedColumn="12"/>
        </ext>
      </extLst>
    </cacheHierarchy>
    <cacheHierarchy uniqueName="[Measures].[صافى الربح]" caption="صافى الربح" measure="1" displayFolder="" measureGroup="جدول_المبيعات" count="0"/>
    <cacheHierarchy uniqueName="[Measures].[متوسط الربح]" caption="متوسط الربح" measure="1" displayFolder="" measureGroup="جدول_المبيعات" count="0"/>
    <cacheHierarchy uniqueName="[Measures].[__XL_Count جدول_المبيعات]" caption="__XL_Count جدول_المبيعات" measure="1" displayFolder="" measureGroup="جدول_المبيعات" count="0" hidden="1"/>
    <cacheHierarchy uniqueName="[Measures].[__XL_Count جدول_المنتجات]" caption="__XL_Count جدول_المنتجات" measure="1" displayFolder="" measureGroup="جدول_المنتجات" count="0" hidden="1"/>
    <cacheHierarchy uniqueName="[Measures].[__XL_Count جدول_العملاء]" caption="__XL_Count جدول_العملاء" measure="1" displayFolder="" measureGroup="جدول_العملاء" count="0" hidden="1"/>
    <cacheHierarchy uniqueName="[Measures].[__XL_Count جدول_الفروع]" caption="__XL_Count جدول_الفروع" measure="1" displayFolder="" measureGroup="جدول_الفروع" count="0" hidden="1"/>
    <cacheHierarchy uniqueName="[Measures].[__No measures defined]" caption="__No measures defined" measure="1" displayFolder="" count="0" hidden="1"/>
  </cacheHierarchies>
  <kpis count="0"/>
  <dimensions count="5">
    <dimension measure="1" name="Measures" uniqueName="[Measures]" caption="Measures"/>
    <dimension name="جدول_العملاء" uniqueName="[جدول_العملاء]" caption="جدول_العملاء"/>
    <dimension name="جدول_الفروع" uniqueName="[جدول_الفروع]" caption="جدول_الفروع"/>
    <dimension name="جدول_المبيعات" uniqueName="[جدول_المبيعات]" caption="جدول_المبيعات"/>
    <dimension name="جدول_المنتجات" uniqueName="[جدول_المنتجات]" caption="جدول_المنتجات"/>
  </dimensions>
  <measureGroups count="4">
    <measureGroup name="جدول_العملاء" caption="جدول_العملاء"/>
    <measureGroup name="جدول_الفروع" caption="جدول_الفروع"/>
    <measureGroup name="جدول_المبيعات" caption="جدول_المبيعات"/>
    <measureGroup name="جدول_المنتجات" caption="جدول_المنتجات"/>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 حسين" refreshedDate="46275.971336921299" backgroundQuery="1" createdVersion="8" refreshedVersion="8" minRefreshableVersion="3" recordCount="0" supportSubquery="1" supportAdvancedDrill="1" xr:uid="{1927E40D-D4B0-4864-B546-A83FD24FE934}">
  <cacheSource type="external" connectionId="5"/>
  <cacheFields count="2">
    <cacheField name="[Measures].[Sum of الإجمالي_الكلّي]" caption="Sum of الإجمالي_الكلّي" numFmtId="0" hierarchy="28" level="32767"/>
    <cacheField name="[جدول_المنتجات].[الفئة].[الفئة]" caption="الفئة" numFmtId="0" hierarchy="25" level="1">
      <sharedItems containsSemiMixedTypes="0" containsNonDate="0" containsString="0"/>
    </cacheField>
  </cacheFields>
  <cacheHierarchies count="40">
    <cacheHierarchy uniqueName="[جدول_العملاء].[معرف_العميل]" caption="معرف_العميل" attribute="1" defaultMemberUniqueName="[جدول_العملاء].[معرف_العميل].[All]" allUniqueName="[جدول_العملاء].[معرف_العميل].[All]" dimensionUniqueName="[جدول_العملاء]" displayFolder="" count="0" memberValueDatatype="130" unbalanced="0"/>
    <cacheHierarchy uniqueName="[جدول_العملاء].[اسم_العميل]" caption="اسم_العميل" attribute="1" defaultMemberUniqueName="[جدول_العملاء].[اسم_العميل].[All]" allUniqueName="[جدول_العملاء].[اسم_العميل].[All]" dimensionUniqueName="[جدول_العملاء]" displayFolder="" count="0" memberValueDatatype="130" unbalanced="0"/>
    <cacheHierarchy uniqueName="[جدول_العملاء].[القطاع]" caption="القطاع" attribute="1" defaultMemberUniqueName="[جدول_العملاء].[القطاع].[All]" allUniqueName="[جدول_العملاء].[القطاع].[All]" dimensionUniqueName="[جدول_العملاء]" displayFolder="" count="0" memberValueDatatype="130" unbalanced="0"/>
    <cacheHierarchy uniqueName="[جدول_العملاء].[المدينة]" caption="المدينة" attribute="1" defaultMemberUniqueName="[جدول_العملاء].[المدينة].[All]" allUniqueName="[جدول_العملاء].[المدينة].[All]" dimensionUniqueName="[جدول_العملاء]" displayFolder="" count="0" memberValueDatatype="130" unbalanced="0"/>
    <cacheHierarchy uniqueName="[جدول_الفروع].[معرف_الفرع]" caption="معرف_الفرع" attribute="1" defaultMemberUniqueName="[جدول_الفروع].[معرف_الفرع].[All]" allUniqueName="[جدول_الفروع].[معرف_الفرع].[All]" dimensionUniqueName="[جدول_الفروع]" displayFolder="" count="0" memberValueDatatype="130" unbalanced="0"/>
    <cacheHierarchy uniqueName="[جدول_الفروع].[اسم_الفرع]" caption="اسم_الفرع" attribute="1" defaultMemberUniqueName="[جدول_الفروع].[اسم_الفرع].[All]" allUniqueName="[جدول_الفروع].[اسم_الفرع].[All]" dimensionUniqueName="[جدول_الفروع]" displayFolder="" count="0" memberValueDatatype="130" unbalanced="0"/>
    <cacheHierarchy uniqueName="[جدول_الفروع].[الإقليم]" caption="الإقليم" attribute="1" defaultMemberUniqueName="[جدول_الفروع].[الإقليم].[All]" allUniqueName="[جدول_الفروع].[الإقليم].[All]" dimensionUniqueName="[جدول_الفروع]" displayFolder="" count="0" memberValueDatatype="130" unbalanced="0"/>
    <cacheHierarchy uniqueName="[جدول_المبيعات].[معرف_الطلب]" caption="معرف_الطلب" attribute="1" defaultMemberUniqueName="[جدول_المبيعات].[معرف_الطلب].[All]" allUniqueName="[جدول_المبيعات].[معرف_الطلب].[All]" dimensionUniqueName="[جدول_المبيعات]" displayFolder="" count="0" memberValueDatatype="20" unbalanced="0"/>
    <cacheHierarchy uniqueName="[جدول_المبيعات].[تاريخ_الطلب]" caption="تاريخ_الطلب" attribute="1" time="1" defaultMemberUniqueName="[جدول_المبيعات].[تاريخ_الطلب].[All]" allUniqueName="[جدول_المبيعات].[تاريخ_الطلب].[All]" dimensionUniqueName="[جدول_المبيعات]" displayFolder="" count="0" memberValueDatatype="7" unbalanced="0"/>
    <cacheHierarchy uniqueName="[جدول_المبيعات].[معرف_العميل]" caption="معرف_العميل" attribute="1" defaultMemberUniqueName="[جدول_المبيعات].[معرف_العميل].[All]" allUniqueName="[جدول_المبيعات].[معرف_العميل].[All]" dimensionUniqueName="[جدول_المبيعات]" displayFolder="" count="0" memberValueDatatype="130" unbalanced="0"/>
    <cacheHierarchy uniqueName="[جدول_المبيعات].[معرف_المنتج]" caption="معرف_المنتج" attribute="1" defaultMemberUniqueName="[جدول_المبيعات].[معرف_المنتج].[All]" allUniqueName="[جدول_المبيعات].[معرف_المنتج].[All]" dimensionUniqueName="[جدول_المبيعات]" displayFolder="" count="0" memberValueDatatype="130" unbalanced="0"/>
    <cacheHierarchy uniqueName="[جدول_المبيعات].[معرف_الفرع]" caption="معرف_الفرع" attribute="1" defaultMemberUniqueName="[جدول_المبيعات].[معرف_الفرع].[All]" allUniqueName="[جدول_المبيعات].[معرف_الفرع].[All]" dimensionUniqueName="[جدول_المبيعات]" displayFolder="" count="0" memberValueDatatype="130" unbalanced="0"/>
    <cacheHierarchy uniqueName="[جدول_المبيعات].[الكمية]" caption="الكمية" attribute="1" defaultMemberUniqueName="[جدول_المبيعات].[الكمية].[All]" allUniqueName="[جدول_المبيعات].[الكمية].[All]" dimensionUniqueName="[جدول_المبيعات]" displayFolder="" count="0" memberValueDatatype="20" unbalanced="0"/>
    <cacheHierarchy uniqueName="[جدول_المبيعات].[سعر_الوحدة]" caption="سعر_الوحدة" attribute="1" defaultMemberUniqueName="[جدول_المبيعات].[سعر_الوحدة].[All]" allUniqueName="[جدول_المبيعات].[سعر_الوحدة].[All]" dimensionUniqueName="[جدول_المبيعات]" displayFolder="" count="0" memberValueDatatype="20" unbalanced="0"/>
    <cacheHierarchy uniqueName="[جدول_المبيعات].[الإجمالي_الفرعي]" caption="الإجمالي_الفرعي" attribute="1" defaultMemberUniqueName="[جدول_المبيعات].[الإجمالي_الفرعي].[All]" allUniqueName="[جدول_المبيعات].[الإجمالي_الفرعي].[All]" dimensionUniqueName="[جدول_المبيعات]" displayFolder="" count="0" memberValueDatatype="20" unbalanced="0"/>
    <cacheHierarchy uniqueName="[جدول_المبيعات].[نسبة_الخصم]" caption="نسبة_الخصم" attribute="1" defaultMemberUniqueName="[جدول_المبيعات].[نسبة_الخصم].[All]" allUniqueName="[جدول_المبيعات].[نسبة_الخصم].[All]" dimensionUniqueName="[جدول_المبيعات]" displayFolder="" count="0" memberValueDatatype="5" unbalanced="0"/>
    <cacheHierarchy uniqueName="[جدول_المبيعات].[قيمة_الخصم]" caption="قيمة_الخصم" attribute="1" defaultMemberUniqueName="[جدول_المبيعات].[قيمة_الخصم].[All]" allUniqueName="[جدول_المبيعات].[قيمة_الخصم].[All]" dimensionUniqueName="[جدول_المبيعات]" displayFolder="" count="0" memberValueDatatype="5" unbalanced="0"/>
    <cacheHierarchy uniqueName="[جدول_المبيعات].[قيمة_الضريبة]" caption="قيمة_الضريبة" attribute="1" defaultMemberUniqueName="[جدول_المبيعات].[قيمة_الضريبة].[All]" allUniqueName="[جدول_المبيعات].[قيمة_الضريبة].[All]" dimensionUniqueName="[جدول_المبيعات]" displayFolder="" count="0" memberValueDatatype="5" unbalanced="0"/>
    <cacheHierarchy uniqueName="[جدول_المبيعات].[تكلفة_الشحن]" caption="تكلفة_الشحن" attribute="1" defaultMemberUniqueName="[جدول_المبيعات].[تكلفة_الشحن].[All]" allUniqueName="[جدول_المبيعات].[تكلفة_الشحن].[All]" dimensionUniqueName="[جدول_المبيعات]" displayFolder="" count="0" memberValueDatatype="20" unbalanced="0"/>
    <cacheHierarchy uniqueName="[جدول_المبيعات].[الإجمالي_الكلّي]" caption="الإجمالي_الكلّي" attribute="1" defaultMemberUniqueName="[جدول_المبيعات].[الإجمالي_الكلّي].[All]" allUniqueName="[جدول_المبيعات].[الإجمالي_الكلّي].[All]" dimensionUniqueName="[جدول_المبيعات]" displayFolder="" count="0" memberValueDatatype="5" unbalanced="0"/>
    <cacheHierarchy uniqueName="[جدول_المبيعات].[طريقة_الدفع]" caption="طريقة_الدفع" attribute="1" defaultMemberUniqueName="[جدول_المبيعات].[طريقة_الدفع].[All]" allUniqueName="[جدول_المبيعات].[طريقة_الدفع].[All]" dimensionUniqueName="[جدول_المبيعات]" displayFolder="" count="0" memberValueDatatype="130" unbalanced="0"/>
    <cacheHierarchy uniqueName="[جدول_المبيعات].[حالة_الطلب]" caption="حالة_الطلب" attribute="1" defaultMemberUniqueName="[جدول_المبيعات].[حالة_الطلب].[All]" allUniqueName="[جدول_المبيعات].[حالة_الطلب].[All]" dimensionUniqueName="[جدول_المبيعات]" displayFolder="" count="0" memberValueDatatype="130" unbalanced="0"/>
    <cacheHierarchy uniqueName="[جدول_المبيعات].[تاريخ_الطلب (Month)]" caption="تاريخ_الطلب (Month)" attribute="1" defaultMemberUniqueName="[جدول_المبيعات].[تاريخ_الطلب (Month)].[All]" allUniqueName="[جدول_المبيعات].[تاريخ_الطلب (Month)].[All]" dimensionUniqueName="[جدول_المبيعات]" displayFolder="" count="0" memberValueDatatype="130" unbalanced="0"/>
    <cacheHierarchy uniqueName="[جدول_المنتجات].[معرف_المنتج]" caption="معرف_المنتج" attribute="1" defaultMemberUniqueName="[جدول_المنتجات].[معرف_المنتج].[All]" allUniqueName="[جدول_المنتجات].[معرف_المنتج].[All]" dimensionUniqueName="[جدول_المنتجات]" displayFolder="" count="0" memberValueDatatype="130" unbalanced="0"/>
    <cacheHierarchy uniqueName="[جدول_المنتجات].[اسم_المنتج]" caption="اسم_المنتج" attribute="1" defaultMemberUniqueName="[جدول_المنتجات].[اسم_المنتج].[All]" allUniqueName="[جدول_المنتجات].[اسم_المنتج].[All]" dimensionUniqueName="[جدول_المنتجات]" displayFolder="" count="0" memberValueDatatype="130" unbalanced="0"/>
    <cacheHierarchy uniqueName="[جدول_المنتجات].[الفئة]" caption="الفئة" attribute="1" defaultMemberUniqueName="[جدول_المنتجات].[الفئة].[All]" allUniqueName="[جدول_المنتجات].[الفئة].[All]" dimensionUniqueName="[جدول_المنتجات]" displayFolder="" count="2" memberValueDatatype="130" unbalanced="0">
      <fieldsUsage count="2">
        <fieldUsage x="-1"/>
        <fieldUsage x="1"/>
      </fieldsUsage>
    </cacheHierarchy>
    <cacheHierarchy uniqueName="[جدول_المنتجات].[سعر_الوحدة]" caption="سعر_الوحدة" attribute="1" defaultMemberUniqueName="[جدول_المنتجات].[سعر_الوحدة].[All]" allUniqueName="[جدول_المنتجات].[سعر_الوحدة].[All]" dimensionUniqueName="[جدول_المنتجات]" displayFolder="" count="0" memberValueDatatype="130" unbalanced="0"/>
    <cacheHierarchy uniqueName="[جدول_المبيعات].[تاريخ_الطلب (Month Index)]" caption="تاريخ_الطلب (Month Index)" attribute="1" defaultMemberUniqueName="[جدول_المبيعات].[تاريخ_الطلب (Month Index)].[All]" allUniqueName="[جدول_المبيعات].[تاريخ_الطلب (Month Index)].[All]" dimensionUniqueName="[جدول_المبيعات]" displayFolder="" count="0" memberValueDatatype="20" unbalanced="0" hidden="1"/>
    <cacheHierarchy uniqueName="[Measures].[Sum of الإجمالي_الكلّي]" caption="Sum of الإجمالي_الكلّي" measure="1" displayFolder="" measureGroup="جدول_المبيعات" count="0" oneField="1">
      <fieldsUsage count="1">
        <fieldUsage x="0"/>
      </fieldsUsage>
      <extLst>
        <ext xmlns:x15="http://schemas.microsoft.com/office/spreadsheetml/2010/11/main" uri="{B97F6D7D-B522-45F9-BDA1-12C45D357490}">
          <x15:cacheHierarchy aggregatedColumn="19"/>
        </ext>
      </extLst>
    </cacheHierarchy>
    <cacheHierarchy uniqueName="[Measures].[Sum of تكلفة_الشحن]" caption="Sum of تكلفة_الشحن" measure="1" displayFolder="" measureGroup="جدول_المبيعات" count="0">
      <extLst>
        <ext xmlns:x15="http://schemas.microsoft.com/office/spreadsheetml/2010/11/main" uri="{B97F6D7D-B522-45F9-BDA1-12C45D357490}">
          <x15:cacheHierarchy aggregatedColumn="18"/>
        </ext>
      </extLst>
    </cacheHierarchy>
    <cacheHierarchy uniqueName="[Measures].[Sum of الإجمالي_الفرعي]" caption="Sum of الإجمالي_الفرعي" measure="1" displayFolder="" measureGroup="جدول_المبيعات" count="0">
      <extLst>
        <ext xmlns:x15="http://schemas.microsoft.com/office/spreadsheetml/2010/11/main" uri="{B97F6D7D-B522-45F9-BDA1-12C45D357490}">
          <x15:cacheHierarchy aggregatedColumn="14"/>
        </ext>
      </extLst>
    </cacheHierarchy>
    <cacheHierarchy uniqueName="[Measures].[Sum of سعر_الوحدة]" caption="Sum of سعر_الوحدة" measure="1" displayFolder="" measureGroup="جدول_المبيعات" count="0">
      <extLst>
        <ext xmlns:x15="http://schemas.microsoft.com/office/spreadsheetml/2010/11/main" uri="{B97F6D7D-B522-45F9-BDA1-12C45D357490}">
          <x15:cacheHierarchy aggregatedColumn="13"/>
        </ext>
      </extLst>
    </cacheHierarchy>
    <cacheHierarchy uniqueName="[Measures].[Sum of الكمية]" caption="Sum of الكمية" measure="1" displayFolder="" measureGroup="جدول_المبيعات" count="0">
      <extLst>
        <ext xmlns:x15="http://schemas.microsoft.com/office/spreadsheetml/2010/11/main" uri="{B97F6D7D-B522-45F9-BDA1-12C45D357490}">
          <x15:cacheHierarchy aggregatedColumn="12"/>
        </ext>
      </extLst>
    </cacheHierarchy>
    <cacheHierarchy uniqueName="[Measures].[صافى الربح]" caption="صافى الربح" measure="1" displayFolder="" measureGroup="جدول_المبيعات" count="0"/>
    <cacheHierarchy uniqueName="[Measures].[متوسط الربح]" caption="متوسط الربح" measure="1" displayFolder="" measureGroup="جدول_المبيعات" count="0"/>
    <cacheHierarchy uniqueName="[Measures].[__XL_Count جدول_المبيعات]" caption="__XL_Count جدول_المبيعات" measure="1" displayFolder="" measureGroup="جدول_المبيعات" count="0" hidden="1"/>
    <cacheHierarchy uniqueName="[Measures].[__XL_Count جدول_المنتجات]" caption="__XL_Count جدول_المنتجات" measure="1" displayFolder="" measureGroup="جدول_المنتجات" count="0" hidden="1"/>
    <cacheHierarchy uniqueName="[Measures].[__XL_Count جدول_العملاء]" caption="__XL_Count جدول_العملاء" measure="1" displayFolder="" measureGroup="جدول_العملاء" count="0" hidden="1"/>
    <cacheHierarchy uniqueName="[Measures].[__XL_Count جدول_الفروع]" caption="__XL_Count جدول_الفروع" measure="1" displayFolder="" measureGroup="جدول_الفروع" count="0" hidden="1"/>
    <cacheHierarchy uniqueName="[Measures].[__No measures defined]" caption="__No measures defined" measure="1" displayFolder="" count="0" hidden="1"/>
  </cacheHierarchies>
  <kpis count="0"/>
  <dimensions count="5">
    <dimension measure="1" name="Measures" uniqueName="[Measures]" caption="Measures"/>
    <dimension name="جدول_العملاء" uniqueName="[جدول_العملاء]" caption="جدول_العملاء"/>
    <dimension name="جدول_الفروع" uniqueName="[جدول_الفروع]" caption="جدول_الفروع"/>
    <dimension name="جدول_المبيعات" uniqueName="[جدول_المبيعات]" caption="جدول_المبيعات"/>
    <dimension name="جدول_المنتجات" uniqueName="[جدول_المنتجات]" caption="جدول_المنتجات"/>
  </dimensions>
  <measureGroups count="4">
    <measureGroup name="جدول_العملاء" caption="جدول_العملاء"/>
    <measureGroup name="جدول_الفروع" caption="جدول_الفروع"/>
    <measureGroup name="جدول_المبيعات" caption="جدول_المبيعات"/>
    <measureGroup name="جدول_المنتجات" caption="جدول_المنتجات"/>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 حسين" refreshedDate="46275.971337615738" backgroundQuery="1" createdVersion="8" refreshedVersion="8" minRefreshableVersion="3" recordCount="0" supportSubquery="1" supportAdvancedDrill="1" xr:uid="{E44C1C88-41AA-41FC-8C7E-DD182C9AAE06}">
  <cacheSource type="external" connectionId="5"/>
  <cacheFields count="4">
    <cacheField name="[Measures].[Sum of الإجمالي_الكلّي]" caption="Sum of الإجمالي_الكلّي" numFmtId="0" hierarchy="28" level="32767"/>
    <cacheField name="[جدول_المبيعات].[تاريخ_الطلب].[تاريخ_الطلب]" caption="تاريخ_الطلب" numFmtId="0" hierarchy="8" level="1">
      <sharedItems containsSemiMixedTypes="0" containsNonDate="0" containsDate="1" containsString="0" minDate="2025-01-01T00:00:00" maxDate="2025-02-03T00:00:00" count="16">
        <d v="2025-01-01T00:00:00"/>
        <d v="2025-01-02T00:00:00"/>
        <d v="2025-01-03T00:00:00"/>
        <d v="2025-01-04T00:00:00"/>
        <d v="2025-01-05T00:00:00"/>
        <d v="2025-01-06T00:00:00"/>
        <d v="2025-01-07T00:00:00"/>
        <d v="2025-01-08T00:00:00"/>
        <d v="2025-01-12T00:00:00"/>
        <d v="2025-01-13T00:00:00"/>
        <d v="2025-01-18T00:00:00"/>
        <d v="2025-01-21T00:00:00"/>
        <d v="2025-01-25T00:00:00"/>
        <d v="2025-01-29T00:00:00"/>
        <d v="2025-01-30T00:00:00"/>
        <d v="2025-02-02T00:00:00"/>
      </sharedItems>
    </cacheField>
    <cacheField name="[جدول_المبيعات].[تاريخ_الطلب (Month)].[تاريخ_الطلب (Month)]" caption="تاريخ_الطلب (Month)" numFmtId="0" hierarchy="22" level="1">
      <sharedItems count="2">
        <s v="يناير"/>
        <s v="فبراير"/>
      </sharedItems>
    </cacheField>
    <cacheField name="[جدول_المنتجات].[الفئة].[الفئة]" caption="الفئة" numFmtId="0" hierarchy="25" level="1">
      <sharedItems containsSemiMixedTypes="0" containsNonDate="0" containsString="0"/>
    </cacheField>
  </cacheFields>
  <cacheHierarchies count="40">
    <cacheHierarchy uniqueName="[جدول_العملاء].[معرف_العميل]" caption="معرف_العميل" attribute="1" defaultMemberUniqueName="[جدول_العملاء].[معرف_العميل].[All]" allUniqueName="[جدول_العملاء].[معرف_العميل].[All]" dimensionUniqueName="[جدول_العملاء]" displayFolder="" count="0" memberValueDatatype="130" unbalanced="0"/>
    <cacheHierarchy uniqueName="[جدول_العملاء].[اسم_العميل]" caption="اسم_العميل" attribute="1" defaultMemberUniqueName="[جدول_العملاء].[اسم_العميل].[All]" allUniqueName="[جدول_العملاء].[اسم_العميل].[All]" dimensionUniqueName="[جدول_العملاء]" displayFolder="" count="0" memberValueDatatype="130" unbalanced="0"/>
    <cacheHierarchy uniqueName="[جدول_العملاء].[القطاع]" caption="القطاع" attribute="1" defaultMemberUniqueName="[جدول_العملاء].[القطاع].[All]" allUniqueName="[جدول_العملاء].[القطاع].[All]" dimensionUniqueName="[جدول_العملاء]" displayFolder="" count="0" memberValueDatatype="130" unbalanced="0"/>
    <cacheHierarchy uniqueName="[جدول_العملاء].[المدينة]" caption="المدينة" attribute="1" defaultMemberUniqueName="[جدول_العملاء].[المدينة].[All]" allUniqueName="[جدول_العملاء].[المدينة].[All]" dimensionUniqueName="[جدول_العملاء]" displayFolder="" count="0" memberValueDatatype="130" unbalanced="0"/>
    <cacheHierarchy uniqueName="[جدول_الفروع].[معرف_الفرع]" caption="معرف_الفرع" attribute="1" defaultMemberUniqueName="[جدول_الفروع].[معرف_الفرع].[All]" allUniqueName="[جدول_الفروع].[معرف_الفرع].[All]" dimensionUniqueName="[جدول_الفروع]" displayFolder="" count="0" memberValueDatatype="130" unbalanced="0"/>
    <cacheHierarchy uniqueName="[جدول_الفروع].[اسم_الفرع]" caption="اسم_الفرع" attribute="1" defaultMemberUniqueName="[جدول_الفروع].[اسم_الفرع].[All]" allUniqueName="[جدول_الفروع].[اسم_الفرع].[All]" dimensionUniqueName="[جدول_الفروع]" displayFolder="" count="0" memberValueDatatype="130" unbalanced="0"/>
    <cacheHierarchy uniqueName="[جدول_الفروع].[الإقليم]" caption="الإقليم" attribute="1" defaultMemberUniqueName="[جدول_الفروع].[الإقليم].[All]" allUniqueName="[جدول_الفروع].[الإقليم].[All]" dimensionUniqueName="[جدول_الفروع]" displayFolder="" count="0" memberValueDatatype="130" unbalanced="0"/>
    <cacheHierarchy uniqueName="[جدول_المبيعات].[معرف_الطلب]" caption="معرف_الطلب" attribute="1" defaultMemberUniqueName="[جدول_المبيعات].[معرف_الطلب].[All]" allUniqueName="[جدول_المبيعات].[معرف_الطلب].[All]" dimensionUniqueName="[جدول_المبيعات]" displayFolder="" count="0" memberValueDatatype="20" unbalanced="0"/>
    <cacheHierarchy uniqueName="[جدول_المبيعات].[تاريخ_الطلب]" caption="تاريخ_الطلب" attribute="1" time="1" defaultMemberUniqueName="[جدول_المبيعات].[تاريخ_الطلب].[All]" allUniqueName="[جدول_المبيعات].[تاريخ_الطلب].[All]" dimensionUniqueName="[جدول_المبيعات]" displayFolder="" count="2" memberValueDatatype="7" unbalanced="0">
      <fieldsUsage count="2">
        <fieldUsage x="-1"/>
        <fieldUsage x="1"/>
      </fieldsUsage>
    </cacheHierarchy>
    <cacheHierarchy uniqueName="[جدول_المبيعات].[معرف_العميل]" caption="معرف_العميل" attribute="1" defaultMemberUniqueName="[جدول_المبيعات].[معرف_العميل].[All]" allUniqueName="[جدول_المبيعات].[معرف_العميل].[All]" dimensionUniqueName="[جدول_المبيعات]" displayFolder="" count="0" memberValueDatatype="130" unbalanced="0"/>
    <cacheHierarchy uniqueName="[جدول_المبيعات].[معرف_المنتج]" caption="معرف_المنتج" attribute="1" defaultMemberUniqueName="[جدول_المبيعات].[معرف_المنتج].[All]" allUniqueName="[جدول_المبيعات].[معرف_المنتج].[All]" dimensionUniqueName="[جدول_المبيعات]" displayFolder="" count="0" memberValueDatatype="130" unbalanced="0"/>
    <cacheHierarchy uniqueName="[جدول_المبيعات].[معرف_الفرع]" caption="معرف_الفرع" attribute="1" defaultMemberUniqueName="[جدول_المبيعات].[معرف_الفرع].[All]" allUniqueName="[جدول_المبيعات].[معرف_الفرع].[All]" dimensionUniqueName="[جدول_المبيعات]" displayFolder="" count="0" memberValueDatatype="130" unbalanced="0"/>
    <cacheHierarchy uniqueName="[جدول_المبيعات].[الكمية]" caption="الكمية" attribute="1" defaultMemberUniqueName="[جدول_المبيعات].[الكمية].[All]" allUniqueName="[جدول_المبيعات].[الكمية].[All]" dimensionUniqueName="[جدول_المبيعات]" displayFolder="" count="0" memberValueDatatype="20" unbalanced="0"/>
    <cacheHierarchy uniqueName="[جدول_المبيعات].[سعر_الوحدة]" caption="سعر_الوحدة" attribute="1" defaultMemberUniqueName="[جدول_المبيعات].[سعر_الوحدة].[All]" allUniqueName="[جدول_المبيعات].[سعر_الوحدة].[All]" dimensionUniqueName="[جدول_المبيعات]" displayFolder="" count="0" memberValueDatatype="20" unbalanced="0"/>
    <cacheHierarchy uniqueName="[جدول_المبيعات].[الإجمالي_الفرعي]" caption="الإجمالي_الفرعي" attribute="1" defaultMemberUniqueName="[جدول_المبيعات].[الإجمالي_الفرعي].[All]" allUniqueName="[جدول_المبيعات].[الإجمالي_الفرعي].[All]" dimensionUniqueName="[جدول_المبيعات]" displayFolder="" count="0" memberValueDatatype="20" unbalanced="0"/>
    <cacheHierarchy uniqueName="[جدول_المبيعات].[نسبة_الخصم]" caption="نسبة_الخصم" attribute="1" defaultMemberUniqueName="[جدول_المبيعات].[نسبة_الخصم].[All]" allUniqueName="[جدول_المبيعات].[نسبة_الخصم].[All]" dimensionUniqueName="[جدول_المبيعات]" displayFolder="" count="0" memberValueDatatype="5" unbalanced="0"/>
    <cacheHierarchy uniqueName="[جدول_المبيعات].[قيمة_الخصم]" caption="قيمة_الخصم" attribute="1" defaultMemberUniqueName="[جدول_المبيعات].[قيمة_الخصم].[All]" allUniqueName="[جدول_المبيعات].[قيمة_الخصم].[All]" dimensionUniqueName="[جدول_المبيعات]" displayFolder="" count="0" memberValueDatatype="5" unbalanced="0"/>
    <cacheHierarchy uniqueName="[جدول_المبيعات].[قيمة_الضريبة]" caption="قيمة_الضريبة" attribute="1" defaultMemberUniqueName="[جدول_المبيعات].[قيمة_الضريبة].[All]" allUniqueName="[جدول_المبيعات].[قيمة_الضريبة].[All]" dimensionUniqueName="[جدول_المبيعات]" displayFolder="" count="0" memberValueDatatype="5" unbalanced="0"/>
    <cacheHierarchy uniqueName="[جدول_المبيعات].[تكلفة_الشحن]" caption="تكلفة_الشحن" attribute="1" defaultMemberUniqueName="[جدول_المبيعات].[تكلفة_الشحن].[All]" allUniqueName="[جدول_المبيعات].[تكلفة_الشحن].[All]" dimensionUniqueName="[جدول_المبيعات]" displayFolder="" count="0" memberValueDatatype="20" unbalanced="0"/>
    <cacheHierarchy uniqueName="[جدول_المبيعات].[الإجمالي_الكلّي]" caption="الإجمالي_الكلّي" attribute="1" defaultMemberUniqueName="[جدول_المبيعات].[الإجمالي_الكلّي].[All]" allUniqueName="[جدول_المبيعات].[الإجمالي_الكلّي].[All]" dimensionUniqueName="[جدول_المبيعات]" displayFolder="" count="0" memberValueDatatype="5" unbalanced="0"/>
    <cacheHierarchy uniqueName="[جدول_المبيعات].[طريقة_الدفع]" caption="طريقة_الدفع" attribute="1" defaultMemberUniqueName="[جدول_المبيعات].[طريقة_الدفع].[All]" allUniqueName="[جدول_المبيعات].[طريقة_الدفع].[All]" dimensionUniqueName="[جدول_المبيعات]" displayFolder="" count="0" memberValueDatatype="130" unbalanced="0"/>
    <cacheHierarchy uniqueName="[جدول_المبيعات].[حالة_الطلب]" caption="حالة_الطلب" attribute="1" defaultMemberUniqueName="[جدول_المبيعات].[حالة_الطلب].[All]" allUniqueName="[جدول_المبيعات].[حالة_الطلب].[All]" dimensionUniqueName="[جدول_المبيعات]" displayFolder="" count="0" memberValueDatatype="130" unbalanced="0"/>
    <cacheHierarchy uniqueName="[جدول_المبيعات].[تاريخ_الطلب (Month)]" caption="تاريخ_الطلب (Month)" attribute="1" defaultMemberUniqueName="[جدول_المبيعات].[تاريخ_الطلب (Month)].[All]" allUniqueName="[جدول_المبيعات].[تاريخ_الطلب (Month)].[All]" dimensionUniqueName="[جدول_المبيعات]" displayFolder="" count="2" memberValueDatatype="130" unbalanced="0">
      <fieldsUsage count="2">
        <fieldUsage x="-1"/>
        <fieldUsage x="2"/>
      </fieldsUsage>
    </cacheHierarchy>
    <cacheHierarchy uniqueName="[جدول_المنتجات].[معرف_المنتج]" caption="معرف_المنتج" attribute="1" defaultMemberUniqueName="[جدول_المنتجات].[معرف_المنتج].[All]" allUniqueName="[جدول_المنتجات].[معرف_المنتج].[All]" dimensionUniqueName="[جدول_المنتجات]" displayFolder="" count="0" memberValueDatatype="130" unbalanced="0"/>
    <cacheHierarchy uniqueName="[جدول_المنتجات].[اسم_المنتج]" caption="اسم_المنتج" attribute="1" defaultMemberUniqueName="[جدول_المنتجات].[اسم_المنتج].[All]" allUniqueName="[جدول_المنتجات].[اسم_المنتج].[All]" dimensionUniqueName="[جدول_المنتجات]" displayFolder="" count="0" memberValueDatatype="130" unbalanced="0"/>
    <cacheHierarchy uniqueName="[جدول_المنتجات].[الفئة]" caption="الفئة" attribute="1" defaultMemberUniqueName="[جدول_المنتجات].[الفئة].[All]" allUniqueName="[جدول_المنتجات].[الفئة].[All]" dimensionUniqueName="[جدول_المنتجات]" displayFolder="" count="2" memberValueDatatype="130" unbalanced="0">
      <fieldsUsage count="2">
        <fieldUsage x="-1"/>
        <fieldUsage x="3"/>
      </fieldsUsage>
    </cacheHierarchy>
    <cacheHierarchy uniqueName="[جدول_المنتجات].[سعر_الوحدة]" caption="سعر_الوحدة" attribute="1" defaultMemberUniqueName="[جدول_المنتجات].[سعر_الوحدة].[All]" allUniqueName="[جدول_المنتجات].[سعر_الوحدة].[All]" dimensionUniqueName="[جدول_المنتجات]" displayFolder="" count="0" memberValueDatatype="130" unbalanced="0"/>
    <cacheHierarchy uniqueName="[جدول_المبيعات].[تاريخ_الطلب (Month Index)]" caption="تاريخ_الطلب (Month Index)" attribute="1" defaultMemberUniqueName="[جدول_المبيعات].[تاريخ_الطلب (Month Index)].[All]" allUniqueName="[جدول_المبيعات].[تاريخ_الطلب (Month Index)].[All]" dimensionUniqueName="[جدول_المبيعات]" displayFolder="" count="0" memberValueDatatype="20" unbalanced="0" hidden="1"/>
    <cacheHierarchy uniqueName="[Measures].[Sum of الإجمالي_الكلّي]" caption="Sum of الإجمالي_الكلّي" measure="1" displayFolder="" measureGroup="جدول_المبيعات" count="0" oneField="1">
      <fieldsUsage count="1">
        <fieldUsage x="0"/>
      </fieldsUsage>
      <extLst>
        <ext xmlns:x15="http://schemas.microsoft.com/office/spreadsheetml/2010/11/main" uri="{B97F6D7D-B522-45F9-BDA1-12C45D357490}">
          <x15:cacheHierarchy aggregatedColumn="19"/>
        </ext>
      </extLst>
    </cacheHierarchy>
    <cacheHierarchy uniqueName="[Measures].[Sum of تكلفة_الشحن]" caption="Sum of تكلفة_الشحن" measure="1" displayFolder="" measureGroup="جدول_المبيعات" count="0">
      <extLst>
        <ext xmlns:x15="http://schemas.microsoft.com/office/spreadsheetml/2010/11/main" uri="{B97F6D7D-B522-45F9-BDA1-12C45D357490}">
          <x15:cacheHierarchy aggregatedColumn="18"/>
        </ext>
      </extLst>
    </cacheHierarchy>
    <cacheHierarchy uniqueName="[Measures].[Sum of الإجمالي_الفرعي]" caption="Sum of الإجمالي_الفرعي" measure="1" displayFolder="" measureGroup="جدول_المبيعات" count="0">
      <extLst>
        <ext xmlns:x15="http://schemas.microsoft.com/office/spreadsheetml/2010/11/main" uri="{B97F6D7D-B522-45F9-BDA1-12C45D357490}">
          <x15:cacheHierarchy aggregatedColumn="14"/>
        </ext>
      </extLst>
    </cacheHierarchy>
    <cacheHierarchy uniqueName="[Measures].[Sum of سعر_الوحدة]" caption="Sum of سعر_الوحدة" measure="1" displayFolder="" measureGroup="جدول_المبيعات" count="0">
      <extLst>
        <ext xmlns:x15="http://schemas.microsoft.com/office/spreadsheetml/2010/11/main" uri="{B97F6D7D-B522-45F9-BDA1-12C45D357490}">
          <x15:cacheHierarchy aggregatedColumn="13"/>
        </ext>
      </extLst>
    </cacheHierarchy>
    <cacheHierarchy uniqueName="[Measures].[Sum of الكمية]" caption="Sum of الكمية" measure="1" displayFolder="" measureGroup="جدول_المبيعات" count="0">
      <extLst>
        <ext xmlns:x15="http://schemas.microsoft.com/office/spreadsheetml/2010/11/main" uri="{B97F6D7D-B522-45F9-BDA1-12C45D357490}">
          <x15:cacheHierarchy aggregatedColumn="12"/>
        </ext>
      </extLst>
    </cacheHierarchy>
    <cacheHierarchy uniqueName="[Measures].[صافى الربح]" caption="صافى الربح" measure="1" displayFolder="" measureGroup="جدول_المبيعات" count="0"/>
    <cacheHierarchy uniqueName="[Measures].[متوسط الربح]" caption="متوسط الربح" measure="1" displayFolder="" measureGroup="جدول_المبيعات" count="0"/>
    <cacheHierarchy uniqueName="[Measures].[__XL_Count جدول_المبيعات]" caption="__XL_Count جدول_المبيعات" measure="1" displayFolder="" measureGroup="جدول_المبيعات" count="0" hidden="1"/>
    <cacheHierarchy uniqueName="[Measures].[__XL_Count جدول_المنتجات]" caption="__XL_Count جدول_المنتجات" measure="1" displayFolder="" measureGroup="جدول_المنتجات" count="0" hidden="1"/>
    <cacheHierarchy uniqueName="[Measures].[__XL_Count جدول_العملاء]" caption="__XL_Count جدول_العملاء" measure="1" displayFolder="" measureGroup="جدول_العملاء" count="0" hidden="1"/>
    <cacheHierarchy uniqueName="[Measures].[__XL_Count جدول_الفروع]" caption="__XL_Count جدول_الفروع" measure="1" displayFolder="" measureGroup="جدول_الفروع" count="0" hidden="1"/>
    <cacheHierarchy uniqueName="[Measures].[__No measures defined]" caption="__No measures defined" measure="1" displayFolder="" count="0" hidden="1"/>
  </cacheHierarchies>
  <kpis count="0"/>
  <dimensions count="5">
    <dimension measure="1" name="Measures" uniqueName="[Measures]" caption="Measures"/>
    <dimension name="جدول_العملاء" uniqueName="[جدول_العملاء]" caption="جدول_العملاء"/>
    <dimension name="جدول_الفروع" uniqueName="[جدول_الفروع]" caption="جدول_الفروع"/>
    <dimension name="جدول_المبيعات" uniqueName="[جدول_المبيعات]" caption="جدول_المبيعات"/>
    <dimension name="جدول_المنتجات" uniqueName="[جدول_المنتجات]" caption="جدول_المنتجات"/>
  </dimensions>
  <measureGroups count="4">
    <measureGroup name="جدول_العملاء" caption="جدول_العملاء"/>
    <measureGroup name="جدول_الفروع" caption="جدول_الفروع"/>
    <measureGroup name="جدول_المبيعات" caption="جدول_المبيعات"/>
    <measureGroup name="جدول_المنتجات" caption="جدول_المنتجات"/>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 حسين" refreshedDate="46275.971338194446" backgroundQuery="1" createdVersion="8" refreshedVersion="8" minRefreshableVersion="3" recordCount="0" supportSubquery="1" supportAdvancedDrill="1" xr:uid="{75337852-B5D8-497F-9668-DA9CDE4A1C7C}">
  <cacheSource type="external" connectionId="5"/>
  <cacheFields count="2">
    <cacheField name="[Measures].[متوسط الربح]" caption="متوسط الربح" numFmtId="0" hierarchy="34" level="32767"/>
    <cacheField name="[جدول_المنتجات].[الفئة].[الفئة]" caption="الفئة" numFmtId="0" hierarchy="25" level="1">
      <sharedItems containsSemiMixedTypes="0" containsNonDate="0" containsString="0"/>
    </cacheField>
  </cacheFields>
  <cacheHierarchies count="40">
    <cacheHierarchy uniqueName="[جدول_العملاء].[معرف_العميل]" caption="معرف_العميل" attribute="1" defaultMemberUniqueName="[جدول_العملاء].[معرف_العميل].[All]" allUniqueName="[جدول_العملاء].[معرف_العميل].[All]" dimensionUniqueName="[جدول_العملاء]" displayFolder="" count="0" memberValueDatatype="130" unbalanced="0"/>
    <cacheHierarchy uniqueName="[جدول_العملاء].[اسم_العميل]" caption="اسم_العميل" attribute="1" defaultMemberUniqueName="[جدول_العملاء].[اسم_العميل].[All]" allUniqueName="[جدول_العملاء].[اسم_العميل].[All]" dimensionUniqueName="[جدول_العملاء]" displayFolder="" count="0" memberValueDatatype="130" unbalanced="0"/>
    <cacheHierarchy uniqueName="[جدول_العملاء].[القطاع]" caption="القطاع" attribute="1" defaultMemberUniqueName="[جدول_العملاء].[القطاع].[All]" allUniqueName="[جدول_العملاء].[القطاع].[All]" dimensionUniqueName="[جدول_العملاء]" displayFolder="" count="0" memberValueDatatype="130" unbalanced="0"/>
    <cacheHierarchy uniqueName="[جدول_العملاء].[المدينة]" caption="المدينة" attribute="1" defaultMemberUniqueName="[جدول_العملاء].[المدينة].[All]" allUniqueName="[جدول_العملاء].[المدينة].[All]" dimensionUniqueName="[جدول_العملاء]" displayFolder="" count="0" memberValueDatatype="130" unbalanced="0"/>
    <cacheHierarchy uniqueName="[جدول_الفروع].[معرف_الفرع]" caption="معرف_الفرع" attribute="1" defaultMemberUniqueName="[جدول_الفروع].[معرف_الفرع].[All]" allUniqueName="[جدول_الفروع].[معرف_الفرع].[All]" dimensionUniqueName="[جدول_الفروع]" displayFolder="" count="0" memberValueDatatype="130" unbalanced="0"/>
    <cacheHierarchy uniqueName="[جدول_الفروع].[اسم_الفرع]" caption="اسم_الفرع" attribute="1" defaultMemberUniqueName="[جدول_الفروع].[اسم_الفرع].[All]" allUniqueName="[جدول_الفروع].[اسم_الفرع].[All]" dimensionUniqueName="[جدول_الفروع]" displayFolder="" count="0" memberValueDatatype="130" unbalanced="0"/>
    <cacheHierarchy uniqueName="[جدول_الفروع].[الإقليم]" caption="الإقليم" attribute="1" defaultMemberUniqueName="[جدول_الفروع].[الإقليم].[All]" allUniqueName="[جدول_الفروع].[الإقليم].[All]" dimensionUniqueName="[جدول_الفروع]" displayFolder="" count="0" memberValueDatatype="130" unbalanced="0"/>
    <cacheHierarchy uniqueName="[جدول_المبيعات].[معرف_الطلب]" caption="معرف_الطلب" attribute="1" defaultMemberUniqueName="[جدول_المبيعات].[معرف_الطلب].[All]" allUniqueName="[جدول_المبيعات].[معرف_الطلب].[All]" dimensionUniqueName="[جدول_المبيعات]" displayFolder="" count="0" memberValueDatatype="20" unbalanced="0"/>
    <cacheHierarchy uniqueName="[جدول_المبيعات].[تاريخ_الطلب]" caption="تاريخ_الطلب" attribute="1" time="1" defaultMemberUniqueName="[جدول_المبيعات].[تاريخ_الطلب].[All]" allUniqueName="[جدول_المبيعات].[تاريخ_الطلب].[All]" dimensionUniqueName="[جدول_المبيعات]" displayFolder="" count="0" memberValueDatatype="7" unbalanced="0"/>
    <cacheHierarchy uniqueName="[جدول_المبيعات].[معرف_العميل]" caption="معرف_العميل" attribute="1" defaultMemberUniqueName="[جدول_المبيعات].[معرف_العميل].[All]" allUniqueName="[جدول_المبيعات].[معرف_العميل].[All]" dimensionUniqueName="[جدول_المبيعات]" displayFolder="" count="0" memberValueDatatype="130" unbalanced="0"/>
    <cacheHierarchy uniqueName="[جدول_المبيعات].[معرف_المنتج]" caption="معرف_المنتج" attribute="1" defaultMemberUniqueName="[جدول_المبيعات].[معرف_المنتج].[All]" allUniqueName="[جدول_المبيعات].[معرف_المنتج].[All]" dimensionUniqueName="[جدول_المبيعات]" displayFolder="" count="0" memberValueDatatype="130" unbalanced="0"/>
    <cacheHierarchy uniqueName="[جدول_المبيعات].[معرف_الفرع]" caption="معرف_الفرع" attribute="1" defaultMemberUniqueName="[جدول_المبيعات].[معرف_الفرع].[All]" allUniqueName="[جدول_المبيعات].[معرف_الفرع].[All]" dimensionUniqueName="[جدول_المبيعات]" displayFolder="" count="0" memberValueDatatype="130" unbalanced="0"/>
    <cacheHierarchy uniqueName="[جدول_المبيعات].[الكمية]" caption="الكمية" attribute="1" defaultMemberUniqueName="[جدول_المبيعات].[الكمية].[All]" allUniqueName="[جدول_المبيعات].[الكمية].[All]" dimensionUniqueName="[جدول_المبيعات]" displayFolder="" count="0" memberValueDatatype="20" unbalanced="0"/>
    <cacheHierarchy uniqueName="[جدول_المبيعات].[سعر_الوحدة]" caption="سعر_الوحدة" attribute="1" defaultMemberUniqueName="[جدول_المبيعات].[سعر_الوحدة].[All]" allUniqueName="[جدول_المبيعات].[سعر_الوحدة].[All]" dimensionUniqueName="[جدول_المبيعات]" displayFolder="" count="0" memberValueDatatype="20" unbalanced="0"/>
    <cacheHierarchy uniqueName="[جدول_المبيعات].[الإجمالي_الفرعي]" caption="الإجمالي_الفرعي" attribute="1" defaultMemberUniqueName="[جدول_المبيعات].[الإجمالي_الفرعي].[All]" allUniqueName="[جدول_المبيعات].[الإجمالي_الفرعي].[All]" dimensionUniqueName="[جدول_المبيعات]" displayFolder="" count="0" memberValueDatatype="20" unbalanced="0"/>
    <cacheHierarchy uniqueName="[جدول_المبيعات].[نسبة_الخصم]" caption="نسبة_الخصم" attribute="1" defaultMemberUniqueName="[جدول_المبيعات].[نسبة_الخصم].[All]" allUniqueName="[جدول_المبيعات].[نسبة_الخصم].[All]" dimensionUniqueName="[جدول_المبيعات]" displayFolder="" count="0" memberValueDatatype="5" unbalanced="0"/>
    <cacheHierarchy uniqueName="[جدول_المبيعات].[قيمة_الخصم]" caption="قيمة_الخصم" attribute="1" defaultMemberUniqueName="[جدول_المبيعات].[قيمة_الخصم].[All]" allUniqueName="[جدول_المبيعات].[قيمة_الخصم].[All]" dimensionUniqueName="[جدول_المبيعات]" displayFolder="" count="0" memberValueDatatype="5" unbalanced="0"/>
    <cacheHierarchy uniqueName="[جدول_المبيعات].[قيمة_الضريبة]" caption="قيمة_الضريبة" attribute="1" defaultMemberUniqueName="[جدول_المبيعات].[قيمة_الضريبة].[All]" allUniqueName="[جدول_المبيعات].[قيمة_الضريبة].[All]" dimensionUniqueName="[جدول_المبيعات]" displayFolder="" count="0" memberValueDatatype="5" unbalanced="0"/>
    <cacheHierarchy uniqueName="[جدول_المبيعات].[تكلفة_الشحن]" caption="تكلفة_الشحن" attribute="1" defaultMemberUniqueName="[جدول_المبيعات].[تكلفة_الشحن].[All]" allUniqueName="[جدول_المبيعات].[تكلفة_الشحن].[All]" dimensionUniqueName="[جدول_المبيعات]" displayFolder="" count="0" memberValueDatatype="20" unbalanced="0"/>
    <cacheHierarchy uniqueName="[جدول_المبيعات].[الإجمالي_الكلّي]" caption="الإجمالي_الكلّي" attribute="1" defaultMemberUniqueName="[جدول_المبيعات].[الإجمالي_الكلّي].[All]" allUniqueName="[جدول_المبيعات].[الإجمالي_الكلّي].[All]" dimensionUniqueName="[جدول_المبيعات]" displayFolder="" count="0" memberValueDatatype="5" unbalanced="0"/>
    <cacheHierarchy uniqueName="[جدول_المبيعات].[طريقة_الدفع]" caption="طريقة_الدفع" attribute="1" defaultMemberUniqueName="[جدول_المبيعات].[طريقة_الدفع].[All]" allUniqueName="[جدول_المبيعات].[طريقة_الدفع].[All]" dimensionUniqueName="[جدول_المبيعات]" displayFolder="" count="0" memberValueDatatype="130" unbalanced="0"/>
    <cacheHierarchy uniqueName="[جدول_المبيعات].[حالة_الطلب]" caption="حالة_الطلب" attribute="1" defaultMemberUniqueName="[جدول_المبيعات].[حالة_الطلب].[All]" allUniqueName="[جدول_المبيعات].[حالة_الطلب].[All]" dimensionUniqueName="[جدول_المبيعات]" displayFolder="" count="0" memberValueDatatype="130" unbalanced="0"/>
    <cacheHierarchy uniqueName="[جدول_المبيعات].[تاريخ_الطلب (Month)]" caption="تاريخ_الطلب (Month)" attribute="1" defaultMemberUniqueName="[جدول_المبيعات].[تاريخ_الطلب (Month)].[All]" allUniqueName="[جدول_المبيعات].[تاريخ_الطلب (Month)].[All]" dimensionUniqueName="[جدول_المبيعات]" displayFolder="" count="0" memberValueDatatype="130" unbalanced="0"/>
    <cacheHierarchy uniqueName="[جدول_المنتجات].[معرف_المنتج]" caption="معرف_المنتج" attribute="1" defaultMemberUniqueName="[جدول_المنتجات].[معرف_المنتج].[All]" allUniqueName="[جدول_المنتجات].[معرف_المنتج].[All]" dimensionUniqueName="[جدول_المنتجات]" displayFolder="" count="0" memberValueDatatype="130" unbalanced="0"/>
    <cacheHierarchy uniqueName="[جدول_المنتجات].[اسم_المنتج]" caption="اسم_المنتج" attribute="1" defaultMemberUniqueName="[جدول_المنتجات].[اسم_المنتج].[All]" allUniqueName="[جدول_المنتجات].[اسم_المنتج].[All]" dimensionUniqueName="[جدول_المنتجات]" displayFolder="" count="0" memberValueDatatype="130" unbalanced="0"/>
    <cacheHierarchy uniqueName="[جدول_المنتجات].[الفئة]" caption="الفئة" attribute="1" defaultMemberUniqueName="[جدول_المنتجات].[الفئة].[All]" allUniqueName="[جدول_المنتجات].[الفئة].[All]" dimensionUniqueName="[جدول_المنتجات]" displayFolder="" count="2" memberValueDatatype="130" unbalanced="0">
      <fieldsUsage count="2">
        <fieldUsage x="-1"/>
        <fieldUsage x="1"/>
      </fieldsUsage>
    </cacheHierarchy>
    <cacheHierarchy uniqueName="[جدول_المنتجات].[سعر_الوحدة]" caption="سعر_الوحدة" attribute="1" defaultMemberUniqueName="[جدول_المنتجات].[سعر_الوحدة].[All]" allUniqueName="[جدول_المنتجات].[سعر_الوحدة].[All]" dimensionUniqueName="[جدول_المنتجات]" displayFolder="" count="0" memberValueDatatype="130" unbalanced="0"/>
    <cacheHierarchy uniqueName="[جدول_المبيعات].[تاريخ_الطلب (Month Index)]" caption="تاريخ_الطلب (Month Index)" attribute="1" defaultMemberUniqueName="[جدول_المبيعات].[تاريخ_الطلب (Month Index)].[All]" allUniqueName="[جدول_المبيعات].[تاريخ_الطلب (Month Index)].[All]" dimensionUniqueName="[جدول_المبيعات]" displayFolder="" count="0" memberValueDatatype="20" unbalanced="0" hidden="1"/>
    <cacheHierarchy uniqueName="[Measures].[Sum of الإجمالي_الكلّي]" caption="Sum of الإجمالي_الكلّي" measure="1" displayFolder="" measureGroup="جدول_المبيعات" count="0">
      <extLst>
        <ext xmlns:x15="http://schemas.microsoft.com/office/spreadsheetml/2010/11/main" uri="{B97F6D7D-B522-45F9-BDA1-12C45D357490}">
          <x15:cacheHierarchy aggregatedColumn="19"/>
        </ext>
      </extLst>
    </cacheHierarchy>
    <cacheHierarchy uniqueName="[Measures].[Sum of تكلفة_الشحن]" caption="Sum of تكلفة_الشحن" measure="1" displayFolder="" measureGroup="جدول_المبيعات" count="0">
      <extLst>
        <ext xmlns:x15="http://schemas.microsoft.com/office/spreadsheetml/2010/11/main" uri="{B97F6D7D-B522-45F9-BDA1-12C45D357490}">
          <x15:cacheHierarchy aggregatedColumn="18"/>
        </ext>
      </extLst>
    </cacheHierarchy>
    <cacheHierarchy uniqueName="[Measures].[Sum of الإجمالي_الفرعي]" caption="Sum of الإجمالي_الفرعي" measure="1" displayFolder="" measureGroup="جدول_المبيعات" count="0">
      <extLst>
        <ext xmlns:x15="http://schemas.microsoft.com/office/spreadsheetml/2010/11/main" uri="{B97F6D7D-B522-45F9-BDA1-12C45D357490}">
          <x15:cacheHierarchy aggregatedColumn="14"/>
        </ext>
      </extLst>
    </cacheHierarchy>
    <cacheHierarchy uniqueName="[Measures].[Sum of سعر_الوحدة]" caption="Sum of سعر_الوحدة" measure="1" displayFolder="" measureGroup="جدول_المبيعات" count="0">
      <extLst>
        <ext xmlns:x15="http://schemas.microsoft.com/office/spreadsheetml/2010/11/main" uri="{B97F6D7D-B522-45F9-BDA1-12C45D357490}">
          <x15:cacheHierarchy aggregatedColumn="13"/>
        </ext>
      </extLst>
    </cacheHierarchy>
    <cacheHierarchy uniqueName="[Measures].[Sum of الكمية]" caption="Sum of الكمية" measure="1" displayFolder="" measureGroup="جدول_المبيعات" count="0">
      <extLst>
        <ext xmlns:x15="http://schemas.microsoft.com/office/spreadsheetml/2010/11/main" uri="{B97F6D7D-B522-45F9-BDA1-12C45D357490}">
          <x15:cacheHierarchy aggregatedColumn="12"/>
        </ext>
      </extLst>
    </cacheHierarchy>
    <cacheHierarchy uniqueName="[Measures].[صافى الربح]" caption="صافى الربح" measure="1" displayFolder="" measureGroup="جدول_المبيعات" count="0"/>
    <cacheHierarchy uniqueName="[Measures].[متوسط الربح]" caption="متوسط الربح" measure="1" displayFolder="" measureGroup="جدول_المبيعات" count="0" oneField="1">
      <fieldsUsage count="1">
        <fieldUsage x="0"/>
      </fieldsUsage>
    </cacheHierarchy>
    <cacheHierarchy uniqueName="[Measures].[__XL_Count جدول_المبيعات]" caption="__XL_Count جدول_المبيعات" measure="1" displayFolder="" measureGroup="جدول_المبيعات" count="0" hidden="1"/>
    <cacheHierarchy uniqueName="[Measures].[__XL_Count جدول_المنتجات]" caption="__XL_Count جدول_المنتجات" measure="1" displayFolder="" measureGroup="جدول_المنتجات" count="0" hidden="1"/>
    <cacheHierarchy uniqueName="[Measures].[__XL_Count جدول_العملاء]" caption="__XL_Count جدول_العملاء" measure="1" displayFolder="" measureGroup="جدول_العملاء" count="0" hidden="1"/>
    <cacheHierarchy uniqueName="[Measures].[__XL_Count جدول_الفروع]" caption="__XL_Count جدول_الفروع" measure="1" displayFolder="" measureGroup="جدول_الفروع" count="0" hidden="1"/>
    <cacheHierarchy uniqueName="[Measures].[__No measures defined]" caption="__No measures defined" measure="1" displayFolder="" count="0" hidden="1"/>
  </cacheHierarchies>
  <kpis count="0"/>
  <dimensions count="5">
    <dimension measure="1" name="Measures" uniqueName="[Measures]" caption="Measures"/>
    <dimension name="جدول_العملاء" uniqueName="[جدول_العملاء]" caption="جدول_العملاء"/>
    <dimension name="جدول_الفروع" uniqueName="[جدول_الفروع]" caption="جدول_الفروع"/>
    <dimension name="جدول_المبيعات" uniqueName="[جدول_المبيعات]" caption="جدول_المبيعات"/>
    <dimension name="جدول_المنتجات" uniqueName="[جدول_المنتجات]" caption="جدول_المنتجات"/>
  </dimensions>
  <measureGroups count="4">
    <measureGroup name="جدول_العملاء" caption="جدول_العملاء"/>
    <measureGroup name="جدول_الفروع" caption="جدول_الفروع"/>
    <measureGroup name="جدول_المبيعات" caption="جدول_المبيعات"/>
    <measureGroup name="جدول_المنتجات" caption="جدول_المنتجات"/>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 حسين" refreshedDate="46275.971354629626" backgroundQuery="1" createdVersion="8" refreshedVersion="8" minRefreshableVersion="3" recordCount="0" supportSubquery="1" supportAdvancedDrill="1" xr:uid="{503082ED-CBA3-4D58-94EA-1EF25C88B4DB}">
  <cacheSource type="external" connectionId="5"/>
  <cacheFields count="3">
    <cacheField name="[جدول_الفروع].[اسم_الفرع].[اسم_الفرع]" caption="اسم_الفرع" numFmtId="0" hierarchy="5" level="1">
      <sharedItems count="5">
        <s v="فرع التحرير"/>
        <s v="فرع الجامعة"/>
        <s v="فرع السلام"/>
        <s v="فرع الناصر"/>
        <s v="فرع سموحة"/>
      </sharedItems>
    </cacheField>
    <cacheField name="[Measures].[Sum of الإجمالي_الكلّي]" caption="Sum of الإجمالي_الكلّي" numFmtId="0" hierarchy="28" level="32767"/>
    <cacheField name="[جدول_المبيعات].[تاريخ_الطلب].[تاريخ_الطلب]" caption="تاريخ_الطلب" numFmtId="0" hierarchy="8" level="1">
      <sharedItems containsSemiMixedTypes="0" containsNonDate="0" containsString="0"/>
    </cacheField>
  </cacheFields>
  <cacheHierarchies count="40">
    <cacheHierarchy uniqueName="[جدول_العملاء].[معرف_العميل]" caption="معرف_العميل" attribute="1" defaultMemberUniqueName="[جدول_العملاء].[معرف_العميل].[All]" allUniqueName="[جدول_العملاء].[معرف_العميل].[All]" dimensionUniqueName="[جدول_العملاء]" displayFolder="" count="2" memberValueDatatype="130" unbalanced="0"/>
    <cacheHierarchy uniqueName="[جدول_العملاء].[اسم_العميل]" caption="اسم_العميل" attribute="1" defaultMemberUniqueName="[جدول_العملاء].[اسم_العميل].[All]" allUniqueName="[جدول_العملاء].[اسم_العميل].[All]" dimensionUniqueName="[جدول_العملاء]" displayFolder="" count="2" memberValueDatatype="130" unbalanced="0"/>
    <cacheHierarchy uniqueName="[جدول_العملاء].[القطاع]" caption="القطاع" attribute="1" defaultMemberUniqueName="[جدول_العملاء].[القطاع].[All]" allUniqueName="[جدول_العملاء].[القطاع].[All]" dimensionUniqueName="[جدول_العملاء]" displayFolder="" count="2" memberValueDatatype="130" unbalanced="0"/>
    <cacheHierarchy uniqueName="[جدول_العملاء].[المدينة]" caption="المدينة" attribute="1" defaultMemberUniqueName="[جدول_العملاء].[المدينة].[All]" allUniqueName="[جدول_العملاء].[المدينة].[All]" dimensionUniqueName="[جدول_العملاء]" displayFolder="" count="2" memberValueDatatype="130" unbalanced="0"/>
    <cacheHierarchy uniqueName="[جدول_الفروع].[معرف_الفرع]" caption="معرف_الفرع" attribute="1" defaultMemberUniqueName="[جدول_الفروع].[معرف_الفرع].[All]" allUniqueName="[جدول_الفروع].[معرف_الفرع].[All]" dimensionUniqueName="[جدول_الفروع]" displayFolder="" count="2" memberValueDatatype="130" unbalanced="0"/>
    <cacheHierarchy uniqueName="[جدول_الفروع].[اسم_الفرع]" caption="اسم_الفرع" attribute="1" defaultMemberUniqueName="[جدول_الفروع].[اسم_الفرع].[All]" allUniqueName="[جدول_الفروع].[اسم_الفرع].[All]" dimensionUniqueName="[جدول_الفروع]" displayFolder="" count="2" memberValueDatatype="130" unbalanced="0">
      <fieldsUsage count="2">
        <fieldUsage x="-1"/>
        <fieldUsage x="0"/>
      </fieldsUsage>
    </cacheHierarchy>
    <cacheHierarchy uniqueName="[جدول_الفروع].[الإقليم]" caption="الإقليم" attribute="1" defaultMemberUniqueName="[جدول_الفروع].[الإقليم].[All]" allUniqueName="[جدول_الفروع].[الإقليم].[All]" dimensionUniqueName="[جدول_الفروع]" displayFolder="" count="2" memberValueDatatype="130" unbalanced="0"/>
    <cacheHierarchy uniqueName="[جدول_المبيعات].[معرف_الطلب]" caption="معرف_الطلب" attribute="1" defaultMemberUniqueName="[جدول_المبيعات].[معرف_الطلب].[All]" allUniqueName="[جدول_المبيعات].[معرف_الطلب].[All]" dimensionUniqueName="[جدول_المبيعات]" displayFolder="" count="2" memberValueDatatype="20" unbalanced="0"/>
    <cacheHierarchy uniqueName="[جدول_المبيعات].[تاريخ_الطلب]" caption="تاريخ_الطلب" attribute="1" time="1" defaultMemberUniqueName="[جدول_المبيعات].[تاريخ_الطلب].[All]" allUniqueName="[جدول_المبيعات].[تاريخ_الطلب].[All]" dimensionUniqueName="[جدول_المبيعات]" displayFolder="" count="2" memberValueDatatype="7" unbalanced="0">
      <fieldsUsage count="2">
        <fieldUsage x="-1"/>
        <fieldUsage x="2"/>
      </fieldsUsage>
    </cacheHierarchy>
    <cacheHierarchy uniqueName="[جدول_المبيعات].[معرف_العميل]" caption="معرف_العميل" attribute="1" defaultMemberUniqueName="[جدول_المبيعات].[معرف_العميل].[All]" allUniqueName="[جدول_المبيعات].[معرف_العميل].[All]" dimensionUniqueName="[جدول_المبيعات]" displayFolder="" count="2" memberValueDatatype="130" unbalanced="0"/>
    <cacheHierarchy uniqueName="[جدول_المبيعات].[معرف_المنتج]" caption="معرف_المنتج" attribute="1" defaultMemberUniqueName="[جدول_المبيعات].[معرف_المنتج].[All]" allUniqueName="[جدول_المبيعات].[معرف_المنتج].[All]" dimensionUniqueName="[جدول_المبيعات]" displayFolder="" count="2" memberValueDatatype="130" unbalanced="0"/>
    <cacheHierarchy uniqueName="[جدول_المبيعات].[معرف_الفرع]" caption="معرف_الفرع" attribute="1" defaultMemberUniqueName="[جدول_المبيعات].[معرف_الفرع].[All]" allUniqueName="[جدول_المبيعات].[معرف_الفرع].[All]" dimensionUniqueName="[جدول_المبيعات]" displayFolder="" count="2" memberValueDatatype="130" unbalanced="0"/>
    <cacheHierarchy uniqueName="[جدول_المبيعات].[الكمية]" caption="الكمية" attribute="1" defaultMemberUniqueName="[جدول_المبيعات].[الكمية].[All]" allUniqueName="[جدول_المبيعات].[الكمية].[All]" dimensionUniqueName="[جدول_المبيعات]" displayFolder="" count="2" memberValueDatatype="20" unbalanced="0"/>
    <cacheHierarchy uniqueName="[جدول_المبيعات].[سعر_الوحدة]" caption="سعر_الوحدة" attribute="1" defaultMemberUniqueName="[جدول_المبيعات].[سعر_الوحدة].[All]" allUniqueName="[جدول_المبيعات].[سعر_الوحدة].[All]" dimensionUniqueName="[جدول_المبيعات]" displayFolder="" count="2" memberValueDatatype="20" unbalanced="0"/>
    <cacheHierarchy uniqueName="[جدول_المبيعات].[الإجمالي_الفرعي]" caption="الإجمالي_الفرعي" attribute="1" defaultMemberUniqueName="[جدول_المبيعات].[الإجمالي_الفرعي].[All]" allUniqueName="[جدول_المبيعات].[الإجمالي_الفرعي].[All]" dimensionUniqueName="[جدول_المبيعات]" displayFolder="" count="2" memberValueDatatype="20" unbalanced="0"/>
    <cacheHierarchy uniqueName="[جدول_المبيعات].[نسبة_الخصم]" caption="نسبة_الخصم" attribute="1" defaultMemberUniqueName="[جدول_المبيعات].[نسبة_الخصم].[All]" allUniqueName="[جدول_المبيعات].[نسبة_الخصم].[All]" dimensionUniqueName="[جدول_المبيعات]" displayFolder="" count="2" memberValueDatatype="5" unbalanced="0"/>
    <cacheHierarchy uniqueName="[جدول_المبيعات].[قيمة_الخصم]" caption="قيمة_الخصم" attribute="1" defaultMemberUniqueName="[جدول_المبيعات].[قيمة_الخصم].[All]" allUniqueName="[جدول_المبيعات].[قيمة_الخصم].[All]" dimensionUniqueName="[جدول_المبيعات]" displayFolder="" count="2" memberValueDatatype="5" unbalanced="0"/>
    <cacheHierarchy uniqueName="[جدول_المبيعات].[قيمة_الضريبة]" caption="قيمة_الضريبة" attribute="1" defaultMemberUniqueName="[جدول_المبيعات].[قيمة_الضريبة].[All]" allUniqueName="[جدول_المبيعات].[قيمة_الضريبة].[All]" dimensionUniqueName="[جدول_المبيعات]" displayFolder="" count="2" memberValueDatatype="5" unbalanced="0"/>
    <cacheHierarchy uniqueName="[جدول_المبيعات].[تكلفة_الشحن]" caption="تكلفة_الشحن" attribute="1" defaultMemberUniqueName="[جدول_المبيعات].[تكلفة_الشحن].[All]" allUniqueName="[جدول_المبيعات].[تكلفة_الشحن].[All]" dimensionUniqueName="[جدول_المبيعات]" displayFolder="" count="2" memberValueDatatype="20" unbalanced="0"/>
    <cacheHierarchy uniqueName="[جدول_المبيعات].[الإجمالي_الكلّي]" caption="الإجمالي_الكلّي" attribute="1" defaultMemberUniqueName="[جدول_المبيعات].[الإجمالي_الكلّي].[All]" allUniqueName="[جدول_المبيعات].[الإجمالي_الكلّي].[All]" dimensionUniqueName="[جدول_المبيعات]" displayFolder="" count="2" memberValueDatatype="5" unbalanced="0"/>
    <cacheHierarchy uniqueName="[جدول_المبيعات].[طريقة_الدفع]" caption="طريقة_الدفع" attribute="1" defaultMemberUniqueName="[جدول_المبيعات].[طريقة_الدفع].[All]" allUniqueName="[جدول_المبيعات].[طريقة_الدفع].[All]" dimensionUniqueName="[جدول_المبيعات]" displayFolder="" count="2" memberValueDatatype="130" unbalanced="0"/>
    <cacheHierarchy uniqueName="[جدول_المبيعات].[حالة_الطلب]" caption="حالة_الطلب" attribute="1" defaultMemberUniqueName="[جدول_المبيعات].[حالة_الطلب].[All]" allUniqueName="[جدول_المبيعات].[حالة_الطلب].[All]" dimensionUniqueName="[جدول_المبيعات]" displayFolder="" count="2" memberValueDatatype="130" unbalanced="0"/>
    <cacheHierarchy uniqueName="[جدول_المبيعات].[تاريخ_الطلب (Month)]" caption="تاريخ_الطلب (Month)" attribute="1" defaultMemberUniqueName="[جدول_المبيعات].[تاريخ_الطلب (Month)].[All]" allUniqueName="[جدول_المبيعات].[تاريخ_الطلب (Month)].[All]" dimensionUniqueName="[جدول_المبيعات]" displayFolder="" count="2" memberValueDatatype="130" unbalanced="0"/>
    <cacheHierarchy uniqueName="[جدول_المنتجات].[معرف_المنتج]" caption="معرف_المنتج" attribute="1" defaultMemberUniqueName="[جدول_المنتجات].[معرف_المنتج].[All]" allUniqueName="[جدول_المنتجات].[معرف_المنتج].[All]" dimensionUniqueName="[جدول_المنتجات]" displayFolder="" count="2" memberValueDatatype="130" unbalanced="0"/>
    <cacheHierarchy uniqueName="[جدول_المنتجات].[اسم_المنتج]" caption="اسم_المنتج" attribute="1" defaultMemberUniqueName="[جدول_المنتجات].[اسم_المنتج].[All]" allUniqueName="[جدول_المنتجات].[اسم_المنتج].[All]" dimensionUniqueName="[جدول_المنتجات]" displayFolder="" count="2" memberValueDatatype="130" unbalanced="0"/>
    <cacheHierarchy uniqueName="[جدول_المنتجات].[الفئة]" caption="الفئة" attribute="1" defaultMemberUniqueName="[جدول_المنتجات].[الفئة].[All]" allUniqueName="[جدول_المنتجات].[الفئة].[All]" dimensionUniqueName="[جدول_المنتجات]" displayFolder="" count="2" memberValueDatatype="130" unbalanced="0"/>
    <cacheHierarchy uniqueName="[جدول_المنتجات].[سعر_الوحدة]" caption="سعر_الوحدة" attribute="1" defaultMemberUniqueName="[جدول_المنتجات].[سعر_الوحدة].[All]" allUniqueName="[جدول_المنتجات].[سعر_الوحدة].[All]" dimensionUniqueName="[جدول_المنتجات]" displayFolder="" count="2" memberValueDatatype="130" unbalanced="0"/>
    <cacheHierarchy uniqueName="[جدول_المبيعات].[تاريخ_الطلب (Month Index)]" caption="تاريخ_الطلب (Month Index)" attribute="1" defaultMemberUniqueName="[جدول_المبيعات].[تاريخ_الطلب (Month Index)].[All]" allUniqueName="[جدول_المبيعات].[تاريخ_الطلب (Month Index)].[All]" dimensionUniqueName="[جدول_المبيعات]" displayFolder="" count="2" memberValueDatatype="20" unbalanced="0" hidden="1"/>
    <cacheHierarchy uniqueName="[Measures].[Sum of الإجمالي_الكلّي]" caption="Sum of الإجمالي_الكلّي" measure="1" displayFolder="" measureGroup="جدول_المبيعات" count="0" oneField="1">
      <fieldsUsage count="1">
        <fieldUsage x="1"/>
      </fieldsUsage>
      <extLst>
        <ext xmlns:x15="http://schemas.microsoft.com/office/spreadsheetml/2010/11/main" uri="{B97F6D7D-B522-45F9-BDA1-12C45D357490}">
          <x15:cacheHierarchy aggregatedColumn="19"/>
        </ext>
      </extLst>
    </cacheHierarchy>
    <cacheHierarchy uniqueName="[Measures].[Sum of تكلفة_الشحن]" caption="Sum of تكلفة_الشحن" measure="1" displayFolder="" measureGroup="جدول_المبيعات" count="0">
      <extLst>
        <ext xmlns:x15="http://schemas.microsoft.com/office/spreadsheetml/2010/11/main" uri="{B97F6D7D-B522-45F9-BDA1-12C45D357490}">
          <x15:cacheHierarchy aggregatedColumn="18"/>
        </ext>
      </extLst>
    </cacheHierarchy>
    <cacheHierarchy uniqueName="[Measures].[Sum of الإجمالي_الفرعي]" caption="Sum of الإجمالي_الفرعي" measure="1" displayFolder="" measureGroup="جدول_المبيعات" count="0">
      <extLst>
        <ext xmlns:x15="http://schemas.microsoft.com/office/spreadsheetml/2010/11/main" uri="{B97F6D7D-B522-45F9-BDA1-12C45D357490}">
          <x15:cacheHierarchy aggregatedColumn="14"/>
        </ext>
      </extLst>
    </cacheHierarchy>
    <cacheHierarchy uniqueName="[Measures].[Sum of سعر_الوحدة]" caption="Sum of سعر_الوحدة" measure="1" displayFolder="" measureGroup="جدول_المبيعات" count="0">
      <extLst>
        <ext xmlns:x15="http://schemas.microsoft.com/office/spreadsheetml/2010/11/main" uri="{B97F6D7D-B522-45F9-BDA1-12C45D357490}">
          <x15:cacheHierarchy aggregatedColumn="13"/>
        </ext>
      </extLst>
    </cacheHierarchy>
    <cacheHierarchy uniqueName="[Measures].[Sum of الكمية]" caption="Sum of الكمية" measure="1" displayFolder="" measureGroup="جدول_المبيعات" count="0">
      <extLst>
        <ext xmlns:x15="http://schemas.microsoft.com/office/spreadsheetml/2010/11/main" uri="{B97F6D7D-B522-45F9-BDA1-12C45D357490}">
          <x15:cacheHierarchy aggregatedColumn="12"/>
        </ext>
      </extLst>
    </cacheHierarchy>
    <cacheHierarchy uniqueName="[Measures].[صافى الربح]" caption="صافى الربح" measure="1" displayFolder="" measureGroup="جدول_المبيعات" count="0"/>
    <cacheHierarchy uniqueName="[Measures].[متوسط الربح]" caption="متوسط الربح" measure="1" displayFolder="" measureGroup="جدول_المبيعات" count="0"/>
    <cacheHierarchy uniqueName="[Measures].[__XL_Count جدول_المبيعات]" caption="__XL_Count جدول_المبيعات" measure="1" displayFolder="" measureGroup="جدول_المبيعات" count="0" hidden="1"/>
    <cacheHierarchy uniqueName="[Measures].[__XL_Count جدول_المنتجات]" caption="__XL_Count جدول_المنتجات" measure="1" displayFolder="" measureGroup="جدول_المنتجات" count="0" hidden="1"/>
    <cacheHierarchy uniqueName="[Measures].[__XL_Count جدول_العملاء]" caption="__XL_Count جدول_العملاء" measure="1" displayFolder="" measureGroup="جدول_العملاء" count="0" hidden="1"/>
    <cacheHierarchy uniqueName="[Measures].[__XL_Count جدول_الفروع]" caption="__XL_Count جدول_الفروع" measure="1" displayFolder="" measureGroup="جدول_الفروع" count="0" hidden="1"/>
    <cacheHierarchy uniqueName="[Measures].[__No measures defined]" caption="__No measures defined" measure="1" displayFolder="" count="0" hidden="1"/>
  </cacheHierarchies>
  <kpis count="0"/>
  <dimensions count="5">
    <dimension measure="1" name="Measures" uniqueName="[Measures]" caption="Measures"/>
    <dimension name="جدول_العملاء" uniqueName="[جدول_العملاء]" caption="جدول_العملاء"/>
    <dimension name="جدول_الفروع" uniqueName="[جدول_الفروع]" caption="جدول_الفروع"/>
    <dimension name="جدول_المبيعات" uniqueName="[جدول_المبيعات]" caption="جدول_المبيعات"/>
    <dimension name="جدول_المنتجات" uniqueName="[جدول_المنتجات]" caption="جدول_المنتجات"/>
  </dimensions>
  <measureGroups count="4">
    <measureGroup name="جدول_العملاء" caption="جدول_العملاء"/>
    <measureGroup name="جدول_الفروع" caption="جدول_الفروع"/>
    <measureGroup name="جدول_المبيعات" caption="جدول_المبيعات"/>
    <measureGroup name="جدول_المنتجات" caption="جدول_المنتجات"/>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محمد حسين" refreshedDate="46275.96454375" backgroundQuery="1" createdVersion="3" refreshedVersion="8" minRefreshableVersion="3" recordCount="0" supportSubquery="1" supportAdvancedDrill="1" xr:uid="{5365FA69-7093-4262-95AB-88A62A83A465}">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جدول_العملاء].[معرف_العميل]" caption="معرف_العميل" attribute="1" defaultMemberUniqueName="[جدول_العملاء].[معرف_العميل].[All]" allUniqueName="[جدول_العملاء].[معرف_العميل].[All]" dimensionUniqueName="[جدول_العملاء]" displayFolder="" count="0" memberValueDatatype="130" unbalanced="0"/>
    <cacheHierarchy uniqueName="[جدول_العملاء].[اسم_العميل]" caption="اسم_العميل" attribute="1" defaultMemberUniqueName="[جدول_العملاء].[اسم_العميل].[All]" allUniqueName="[جدول_العملاء].[اسم_العميل].[All]" dimensionUniqueName="[جدول_العملاء]" displayFolder="" count="2" memberValueDatatype="130" unbalanced="0"/>
    <cacheHierarchy uniqueName="[جدول_العملاء].[القطاع]" caption="القطاع" attribute="1" defaultMemberUniqueName="[جدول_العملاء].[القطاع].[All]" allUniqueName="[جدول_العملاء].[القطاع].[All]" dimensionUniqueName="[جدول_العملاء]" displayFolder="" count="0" memberValueDatatype="130" unbalanced="0"/>
    <cacheHierarchy uniqueName="[جدول_العملاء].[المدينة]" caption="المدينة" attribute="1" defaultMemberUniqueName="[جدول_العملاء].[المدينة].[All]" allUniqueName="[جدول_العملاء].[المدينة].[All]" dimensionUniqueName="[جدول_العملاء]" displayFolder="" count="2" memberValueDatatype="130" unbalanced="0"/>
    <cacheHierarchy uniqueName="[جدول_الفروع].[معرف_الفرع]" caption="معرف_الفرع" attribute="1" defaultMemberUniqueName="[جدول_الفروع].[معرف_الفرع].[All]" allUniqueName="[جدول_الفروع].[معرف_الفرع].[All]" dimensionUniqueName="[جدول_الفروع]" displayFolder="" count="0" memberValueDatatype="130" unbalanced="0"/>
    <cacheHierarchy uniqueName="[جدول_الفروع].[اسم_الفرع]" caption="اسم_الفرع" attribute="1" defaultMemberUniqueName="[جدول_الفروع].[اسم_الفرع].[All]" allUniqueName="[جدول_الفروع].[اسم_الفرع].[All]" dimensionUniqueName="[جدول_الفروع]" displayFolder="" count="2" memberValueDatatype="130" unbalanced="0"/>
    <cacheHierarchy uniqueName="[جدول_الفروع].[الإقليم]" caption="الإقليم" attribute="1" defaultMemberUniqueName="[جدول_الفروع].[الإقليم].[All]" allUniqueName="[جدول_الفروع].[الإقليم].[All]" dimensionUniqueName="[جدول_الفروع]" displayFolder="" count="0" memberValueDatatype="130" unbalanced="0"/>
    <cacheHierarchy uniqueName="[جدول_المبيعات].[معرف_الطلب]" caption="معرف_الطلب" attribute="1" defaultMemberUniqueName="[جدول_المبيعات].[معرف_الطلب].[All]" allUniqueName="[جدول_المبيعات].[معرف_الطلب].[All]" dimensionUniqueName="[جدول_المبيعات]" displayFolder="" count="0" memberValueDatatype="20" unbalanced="0"/>
    <cacheHierarchy uniqueName="[جدول_المبيعات].[تاريخ_الطلب]" caption="تاريخ_الطلب" attribute="1" time="1" defaultMemberUniqueName="[جدول_المبيعات].[تاريخ_الطلب].[All]" allUniqueName="[جدول_المبيعات].[تاريخ_الطلب].[All]" dimensionUniqueName="[جدول_المبيعات]" displayFolder="" count="2" memberValueDatatype="7" unbalanced="0"/>
    <cacheHierarchy uniqueName="[جدول_المبيعات].[معرف_العميل]" caption="معرف_العميل" attribute="1" defaultMemberUniqueName="[جدول_المبيعات].[معرف_العميل].[All]" allUniqueName="[جدول_المبيعات].[معرف_العميل].[All]" dimensionUniqueName="[جدول_المبيعات]" displayFolder="" count="0" memberValueDatatype="130" unbalanced="0"/>
    <cacheHierarchy uniqueName="[جدول_المبيعات].[معرف_المنتج]" caption="معرف_المنتج" attribute="1" defaultMemberUniqueName="[جدول_المبيعات].[معرف_المنتج].[All]" allUniqueName="[جدول_المبيعات].[معرف_المنتج].[All]" dimensionUniqueName="[جدول_المبيعات]" displayFolder="" count="0" memberValueDatatype="130" unbalanced="0"/>
    <cacheHierarchy uniqueName="[جدول_المبيعات].[معرف_الفرع]" caption="معرف_الفرع" attribute="1" defaultMemberUniqueName="[جدول_المبيعات].[معرف_الفرع].[All]" allUniqueName="[جدول_المبيعات].[معرف_الفرع].[All]" dimensionUniqueName="[جدول_المبيعات]" displayFolder="" count="0" memberValueDatatype="130" unbalanced="0"/>
    <cacheHierarchy uniqueName="[جدول_المبيعات].[الكمية]" caption="الكمية" attribute="1" defaultMemberUniqueName="[جدول_المبيعات].[الكمية].[All]" allUniqueName="[جدول_المبيعات].[الكمية].[All]" dimensionUniqueName="[جدول_المبيعات]" displayFolder="" count="0" memberValueDatatype="20" unbalanced="0"/>
    <cacheHierarchy uniqueName="[جدول_المبيعات].[سعر_الوحدة]" caption="سعر_الوحدة" attribute="1" defaultMemberUniqueName="[جدول_المبيعات].[سعر_الوحدة].[All]" allUniqueName="[جدول_المبيعات].[سعر_الوحدة].[All]" dimensionUniqueName="[جدول_المبيعات]" displayFolder="" count="0" memberValueDatatype="20" unbalanced="0"/>
    <cacheHierarchy uniqueName="[جدول_المبيعات].[الإجمالي_الفرعي]" caption="الإجمالي_الفرعي" attribute="1" defaultMemberUniqueName="[جدول_المبيعات].[الإجمالي_الفرعي].[All]" allUniqueName="[جدول_المبيعات].[الإجمالي_الفرعي].[All]" dimensionUniqueName="[جدول_المبيعات]" displayFolder="" count="0" memberValueDatatype="20" unbalanced="0"/>
    <cacheHierarchy uniqueName="[جدول_المبيعات].[نسبة_الخصم]" caption="نسبة_الخصم" attribute="1" defaultMemberUniqueName="[جدول_المبيعات].[نسبة_الخصم].[All]" allUniqueName="[جدول_المبيعات].[نسبة_الخصم].[All]" dimensionUniqueName="[جدول_المبيعات]" displayFolder="" count="0" memberValueDatatype="5" unbalanced="0"/>
    <cacheHierarchy uniqueName="[جدول_المبيعات].[قيمة_الخصم]" caption="قيمة_الخصم" attribute="1" defaultMemberUniqueName="[جدول_المبيعات].[قيمة_الخصم].[All]" allUniqueName="[جدول_المبيعات].[قيمة_الخصم].[All]" dimensionUniqueName="[جدول_المبيعات]" displayFolder="" count="0" memberValueDatatype="5" unbalanced="0"/>
    <cacheHierarchy uniqueName="[جدول_المبيعات].[قيمة_الضريبة]" caption="قيمة_الضريبة" attribute="1" defaultMemberUniqueName="[جدول_المبيعات].[قيمة_الضريبة].[All]" allUniqueName="[جدول_المبيعات].[قيمة_الضريبة].[All]" dimensionUniqueName="[جدول_المبيعات]" displayFolder="" count="0" memberValueDatatype="5" unbalanced="0"/>
    <cacheHierarchy uniqueName="[جدول_المبيعات].[تكلفة_الشحن]" caption="تكلفة_الشحن" attribute="1" defaultMemberUniqueName="[جدول_المبيعات].[تكلفة_الشحن].[All]" allUniqueName="[جدول_المبيعات].[تكلفة_الشحن].[All]" dimensionUniqueName="[جدول_المبيعات]" displayFolder="" count="0" memberValueDatatype="20" unbalanced="0"/>
    <cacheHierarchy uniqueName="[جدول_المبيعات].[الإجمالي_الكلّي]" caption="الإجمالي_الكلّي" attribute="1" defaultMemberUniqueName="[جدول_المبيعات].[الإجمالي_الكلّي].[All]" allUniqueName="[جدول_المبيعات].[الإجمالي_الكلّي].[All]" dimensionUniqueName="[جدول_المبيعات]" displayFolder="" count="0" memberValueDatatype="5" unbalanced="0"/>
    <cacheHierarchy uniqueName="[جدول_المبيعات].[طريقة_الدفع]" caption="طريقة_الدفع" attribute="1" defaultMemberUniqueName="[جدول_المبيعات].[طريقة_الدفع].[All]" allUniqueName="[جدول_المبيعات].[طريقة_الدفع].[All]" dimensionUniqueName="[جدول_المبيعات]" displayFolder="" count="0" memberValueDatatype="130" unbalanced="0"/>
    <cacheHierarchy uniqueName="[جدول_المبيعات].[حالة_الطلب]" caption="حالة_الطلب" attribute="1" defaultMemberUniqueName="[جدول_المبيعات].[حالة_الطلب].[All]" allUniqueName="[جدول_المبيعات].[حالة_الطلب].[All]" dimensionUniqueName="[جدول_المبيعات]" displayFolder="" count="0" memberValueDatatype="130" unbalanced="0"/>
    <cacheHierarchy uniqueName="[جدول_المبيعات].[تاريخ_الطلب (Month)]" caption="تاريخ_الطلب (Month)" attribute="1" defaultMemberUniqueName="[جدول_المبيعات].[تاريخ_الطلب (Month)].[All]" allUniqueName="[جدول_المبيعات].[تاريخ_الطلب (Month)].[All]" dimensionUniqueName="[جدول_المبيعات]" displayFolder="" count="0" memberValueDatatype="130" unbalanced="0"/>
    <cacheHierarchy uniqueName="[جدول_المنتجات].[معرف_المنتج]" caption="معرف_المنتج" attribute="1" defaultMemberUniqueName="[جدول_المنتجات].[معرف_المنتج].[All]" allUniqueName="[جدول_المنتجات].[معرف_المنتج].[All]" dimensionUniqueName="[جدول_المنتجات]" displayFolder="" count="0" memberValueDatatype="130" unbalanced="0"/>
    <cacheHierarchy uniqueName="[جدول_المنتجات].[اسم_المنتج]" caption="اسم_المنتج" attribute="1" defaultMemberUniqueName="[جدول_المنتجات].[اسم_المنتج].[All]" allUniqueName="[جدول_المنتجات].[اسم_المنتج].[All]" dimensionUniqueName="[جدول_المنتجات]" displayFolder="" count="0" memberValueDatatype="130" unbalanced="0"/>
    <cacheHierarchy uniqueName="[جدول_المنتجات].[الفئة]" caption="الفئة" attribute="1" defaultMemberUniqueName="[جدول_المنتجات].[الفئة].[All]" allUniqueName="[جدول_المنتجات].[الفئة].[All]" dimensionUniqueName="[جدول_المنتجات]" displayFolder="" count="2" memberValueDatatype="130" unbalanced="0"/>
    <cacheHierarchy uniqueName="[جدول_المنتجات].[سعر_الوحدة]" caption="سعر_الوحدة" attribute="1" defaultMemberUniqueName="[جدول_المنتجات].[سعر_الوحدة].[All]" allUniqueName="[جدول_المنتجات].[سعر_الوحدة].[All]" dimensionUniqueName="[جدول_المنتجات]" displayFolder="" count="0" memberValueDatatype="130" unbalanced="0"/>
    <cacheHierarchy uniqueName="[جدول_المبيعات].[تاريخ_الطلب (Month Index)]" caption="تاريخ_الطلب (Month Index)" attribute="1" defaultMemberUniqueName="[جدول_المبيعات].[تاريخ_الطلب (Month Index)].[All]" allUniqueName="[جدول_المبيعات].[تاريخ_الطلب (Month Index)].[All]" dimensionUniqueName="[جدول_المبيعات]" displayFolder="" count="0" memberValueDatatype="20" unbalanced="0" hidden="1"/>
    <cacheHierarchy uniqueName="[Measures].[Sum of الإجمالي_الكلّي]" caption="Sum of الإجمالي_الكلّي" measure="1" displayFolder="" measureGroup="جدول_المبيعات" count="0">
      <extLst>
        <ext xmlns:x15="http://schemas.microsoft.com/office/spreadsheetml/2010/11/main" uri="{B97F6D7D-B522-45F9-BDA1-12C45D357490}">
          <x15:cacheHierarchy aggregatedColumn="19"/>
        </ext>
      </extLst>
    </cacheHierarchy>
    <cacheHierarchy uniqueName="[Measures].[Sum of تكلفة_الشحن]" caption="Sum of تكلفة_الشحن" measure="1" displayFolder="" measureGroup="جدول_المبيعات" count="0">
      <extLst>
        <ext xmlns:x15="http://schemas.microsoft.com/office/spreadsheetml/2010/11/main" uri="{B97F6D7D-B522-45F9-BDA1-12C45D357490}">
          <x15:cacheHierarchy aggregatedColumn="18"/>
        </ext>
      </extLst>
    </cacheHierarchy>
    <cacheHierarchy uniqueName="[Measures].[Sum of الإجمالي_الفرعي]" caption="Sum of الإجمالي_الفرعي" measure="1" displayFolder="" measureGroup="جدول_المبيعات" count="0">
      <extLst>
        <ext xmlns:x15="http://schemas.microsoft.com/office/spreadsheetml/2010/11/main" uri="{B97F6D7D-B522-45F9-BDA1-12C45D357490}">
          <x15:cacheHierarchy aggregatedColumn="14"/>
        </ext>
      </extLst>
    </cacheHierarchy>
    <cacheHierarchy uniqueName="[Measures].[Sum of سعر_الوحدة]" caption="Sum of سعر_الوحدة" measure="1" displayFolder="" measureGroup="جدول_المبيعات" count="0">
      <extLst>
        <ext xmlns:x15="http://schemas.microsoft.com/office/spreadsheetml/2010/11/main" uri="{B97F6D7D-B522-45F9-BDA1-12C45D357490}">
          <x15:cacheHierarchy aggregatedColumn="13"/>
        </ext>
      </extLst>
    </cacheHierarchy>
    <cacheHierarchy uniqueName="[Measures].[Sum of الكمية]" caption="Sum of الكمية" measure="1" displayFolder="" measureGroup="جدول_المبيعات" count="0">
      <extLst>
        <ext xmlns:x15="http://schemas.microsoft.com/office/spreadsheetml/2010/11/main" uri="{B97F6D7D-B522-45F9-BDA1-12C45D357490}">
          <x15:cacheHierarchy aggregatedColumn="12"/>
        </ext>
      </extLst>
    </cacheHierarchy>
    <cacheHierarchy uniqueName="[Measures].[صافى الربح]" caption="صافى الربح" measure="1" displayFolder="" measureGroup="جدول_المبيعات" count="0"/>
    <cacheHierarchy uniqueName="[Measures].[متوسط الربح]" caption="متوسط الربح" measure="1" displayFolder="" measureGroup="جدول_المبيعات" count="0"/>
    <cacheHierarchy uniqueName="[Measures].[__XL_Count جدول_المبيعات]" caption="__XL_Count جدول_المبيعات" measure="1" displayFolder="" measureGroup="جدول_المبيعات" count="0" hidden="1"/>
    <cacheHierarchy uniqueName="[Measures].[__XL_Count جدول_المنتجات]" caption="__XL_Count جدول_المنتجات" measure="1" displayFolder="" measureGroup="جدول_المنتجات" count="0" hidden="1"/>
    <cacheHierarchy uniqueName="[Measures].[__XL_Count جدول_العملاء]" caption="__XL_Count جدول_العملاء" measure="1" displayFolder="" measureGroup="جدول_العملاء" count="0" hidden="1"/>
    <cacheHierarchy uniqueName="[Measures].[__XL_Count جدول_الفروع]" caption="__XL_Count جدول_الفروع" measure="1" displayFolder="" measureGroup="جدول_الفروع"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33782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7FD87-11D4-494C-8F82-D6D051A818C2}" name="PivotTable8" cacheId="6" applyNumberFormats="0" applyBorderFormats="0" applyFontFormats="0" applyPatternFormats="0" applyAlignmentFormats="0" applyWidthHeightFormats="1" dataCaption="Values" tag="bbb4ddf3-105f-4288-91a2-32a423c803a1" updatedVersion="8" minRefreshableVersion="3" useAutoFormatting="1" itemPrintTitles="1" createdVersion="8" indent="0" outline="1" outlineData="1" multipleFieldFilters="0">
  <location ref="CA3:C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جدول_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4508CB-BA1D-4EC4-A0A2-16E70E95E0B8}" name="PivotTable7" cacheId="5" applyNumberFormats="0" applyBorderFormats="0" applyFontFormats="0" applyPatternFormats="0" applyAlignmentFormats="0" applyWidthHeightFormats="1" dataCaption="Values" tag="ec99e06d-64a5-48da-abd4-03ba2ba0891c" updatedVersion="8" minRefreshableVersion="3" useAutoFormatting="1" itemPrintTitles="1" createdVersion="8" indent="0" outline="1" outlineData="1" multipleFieldFilters="0" chartFormat="4">
  <location ref="BR3:BU21" firstHeaderRow="1" firstDataRow="2" firstDataCol="1"/>
  <pivotFields count="4">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items count="2">
        <item x="0" e="0"/>
        <item x="1" e="0"/>
      </items>
    </pivotField>
    <pivotField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Fields count="1">
    <field x="2"/>
  </colFields>
  <colItems count="3">
    <i>
      <x/>
    </i>
    <i>
      <x v="1"/>
    </i>
    <i t="grand">
      <x/>
    </i>
  </colItems>
  <dataFields count="1">
    <dataField name="Sum of الإجمالي_الكلّي" fld="0"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جدول_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0D0106-265F-4459-BB14-19BBE9A3B3A2}" name="PivotTable2" cacheId="1" applyNumberFormats="0" applyBorderFormats="0" applyFontFormats="0" applyPatternFormats="0" applyAlignmentFormats="0" applyWidthHeightFormats="1" dataCaption="Values" tag="bb3e94c9-7a8a-407c-a912-28122e60760e" updatedVersion="8" minRefreshableVersion="3" useAutoFormatting="1" itemPrintTitles="1" createdVersion="8" indent="0" outline="1" outlineData="1" multipleFieldFilters="0" chartFormat="4">
  <location ref="O2:P8"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v="3"/>
    </i>
    <i>
      <x v="4"/>
    </i>
    <i>
      <x/>
    </i>
    <i t="grand">
      <x/>
    </i>
  </rowItems>
  <colItems count="1">
    <i/>
  </colItems>
  <dataFields count="1">
    <dataField name="Sum of الإجمالي_الكلّي" fld="0" showDataAs="percentOfTotal" baseField="1" baseItem="2" numFmtId="10"/>
  </dataFields>
  <chartFormats count="11">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3" format="11">
      <pivotArea type="data" outline="0" fieldPosition="0">
        <references count="2">
          <reference field="4294967294" count="1" selected="0">
            <x v="0"/>
          </reference>
          <reference field="1" count="1" selected="0">
            <x v="4"/>
          </reference>
        </references>
      </pivotArea>
    </chartFormat>
    <chartFormat chart="3" format="12">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جدول_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84ABB8-2C70-4552-8E29-FCA5A1F0E7FB}" name="PivotTable5" cacheId="3" applyNumberFormats="0" applyBorderFormats="0" applyFontFormats="0" applyPatternFormats="0" applyAlignmentFormats="0" applyWidthHeightFormats="1" dataCaption="Values" tag="cb93e0a7-29d9-4a7f-a3ee-6cbd7acd1d23" updatedVersion="8" minRefreshableVersion="3" useAutoFormatting="1" itemPrintTitles="1" createdVersion="8" indent="0" outline="1" outlineData="1" multipleFieldFilters="0" chartFormat="54">
  <location ref="AU2:AV7"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i>
    <i>
      <x v="3"/>
    </i>
    <i>
      <x v="2"/>
    </i>
    <i t="grand">
      <x/>
    </i>
  </rowItems>
  <colItems count="1">
    <i/>
  </colItems>
  <dataFields count="1">
    <dataField name="Sum of الإجمالي_الكلّي" fld="0" showDataAs="percentOfTotal" baseField="1" baseItem="1" numFmtId="10"/>
  </dataFields>
  <chartFormats count="2">
    <chartFormat chart="51"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جدول_المبيعات]"/>
        <x15:activeTabTopLevelEntity name="[جدول_الفروع]"/>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FD4F79-1FB8-4442-BA1F-E4700205CB54}" name="PivotTable4" cacheId="7" applyNumberFormats="0" applyBorderFormats="0" applyFontFormats="0" applyPatternFormats="0" applyAlignmentFormats="0" applyWidthHeightFormats="1" dataCaption="Values" tag="321aa2ae-1750-4f0c-ba63-4167cf9bc7ea" updatedVersion="8" minRefreshableVersion="3" useAutoFormatting="1" subtotalHiddenItems="1" itemPrintTitles="1" createdVersion="8" indent="0" outline="1" outlineData="1" multipleFieldFilters="0" chartFormat="4">
  <location ref="AI4:AJ10"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i>
    <i>
      <x v="2"/>
    </i>
    <i>
      <x v="3"/>
    </i>
    <i t="grand">
      <x/>
    </i>
  </rowItems>
  <colItems count="1">
    <i/>
  </colItems>
  <dataFields count="1">
    <dataField name="Sum of الإجمالي_الكلّي" fld="1" showDataAs="percentOfTotal" baseField="0" baseItem="4"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جدول_الفروع]"/>
        <x15:activeTabTopLevelEntity name="[جدول_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654F8B-2CB5-46FB-AB4E-94F1CF1175D6}" name="PivotTable6" cacheId="4" applyNumberFormats="0" applyBorderFormats="0" applyFontFormats="0" applyPatternFormats="0" applyAlignmentFormats="0" applyWidthHeightFormats="1" dataCaption="Values" tag="63de4b36-992b-4d36-a22c-b64f38cea0b7" updatedVersion="8" minRefreshableVersion="3" useAutoFormatting="1" itemPrintTitles="1" createdVersion="8" indent="0" outline="1" outlineData="1" multipleFieldFilters="0">
  <location ref="BJ2:B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الإجمالي_الكلّي" fld="0" baseField="0" baseItem="0" numFmtId="3"/>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جدول_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9995A6-9BAA-4D74-849B-BB2CCB8BEAEB}" name="PivotTable3" cacheId="2" applyNumberFormats="0" applyBorderFormats="0" applyFontFormats="0" applyPatternFormats="0" applyAlignmentFormats="0" applyWidthHeightFormats="1" dataCaption="Values" tag="ac7c1c1b-c9ad-4e7a-b9c5-80ca89be4216" updatedVersion="8" minRefreshableVersion="3" useAutoFormatting="1" itemPrintTitles="1" createdVersion="8" indent="0" outline="1" outlineData="1" multipleFieldFilters="0" chartFormat="4">
  <location ref="Z4:AA8" firstHeaderRow="1" firstDataRow="1" firstDataCol="1"/>
  <pivotFields count="2">
    <pivotField dataField="1" subtotalTop="0" showAll="0" defaultSubtotal="0"/>
    <pivotField axis="axisRow" allDrilled="1" subtotalTop="0" showAll="0" sortType="ascending" defaultSubtotal="0" defaultAttributeDrillState="1">
      <items count="3">
        <item x="0"/>
        <item x="1"/>
        <item x="2"/>
      </items>
    </pivotField>
  </pivotFields>
  <rowFields count="1">
    <field x="1"/>
  </rowFields>
  <rowItems count="4">
    <i>
      <x/>
    </i>
    <i>
      <x v="1"/>
    </i>
    <i>
      <x v="2"/>
    </i>
    <i t="grand">
      <x/>
    </i>
  </rowItems>
  <colItems count="1">
    <i/>
  </colItems>
  <dataFields count="1">
    <dataField name="Sum of الإجمالي_الكلّي" fld="0" showDataAs="percentOfTotal" baseField="1"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جدول_المبيعات]"/>
        <x15:activeTabTopLevelEntity name="[جدول_المنتج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F8A5FD-5655-4E4E-9F8B-3CBA0BD2CE32}" name="PivotTable1" cacheId="0" applyNumberFormats="0" applyBorderFormats="0" applyFontFormats="0" applyPatternFormats="0" applyAlignmentFormats="0" applyWidthHeightFormats="1" dataCaption="Values" tag="382a1f74-48ee-46d7-852b-ecf55c01f05f" updatedVersion="8" minRefreshableVersion="3" useAutoFormatting="1" itemPrintTitles="1" createdVersion="8" indent="0" outline="1" outlineData="1" multipleFieldFilters="0" chartFormat="3">
  <location ref="C4:D16" firstHeaderRow="1" firstDataRow="1" firstDataCol="1"/>
  <pivotFields count="3">
    <pivotField dataField="1" subtotalTop="0" showAll="0" defaultSubtotal="0"/>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2">
    <i>
      <x/>
    </i>
    <i>
      <x v="6"/>
    </i>
    <i>
      <x v="9"/>
    </i>
    <i>
      <x v="2"/>
    </i>
    <i>
      <x v="3"/>
    </i>
    <i>
      <x v="1"/>
    </i>
    <i>
      <x v="7"/>
    </i>
    <i>
      <x v="4"/>
    </i>
    <i>
      <x v="5"/>
    </i>
    <i>
      <x v="10"/>
    </i>
    <i>
      <x v="8"/>
    </i>
    <i t="grand">
      <x/>
    </i>
  </rowItems>
  <colItems count="1">
    <i/>
  </colItems>
  <dataFields count="1">
    <dataField name="Sum of الإجمالي_الكلّي" fld="0" showDataAs="percentOfTotal" baseField="1" baseItem="7"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جدول_المبيعات]"/>
        <x15:activeTabTopLevelEntity name="[جدول_المنتجات]"/>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431B0F9-45CD-4ABD-8C57-0A434E7444A5}" autoFormatId="16" applyNumberFormats="0" applyBorderFormats="0" applyFontFormats="0" applyPatternFormats="0" applyAlignmentFormats="0" applyWidthHeightFormats="0">
  <queryTableRefresh nextId="5">
    <queryTableFields count="4">
      <queryTableField id="1" name="معرف_المنتج" tableColumnId="1"/>
      <queryTableField id="2" name="اسم_المنتج" tableColumnId="2"/>
      <queryTableField id="3" name="الفئة" tableColumnId="3"/>
      <queryTableField id="4" name="سعر_الوحدة"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FFA3AE52-5DB9-423E-AFCE-7E0458EAA2D7}" autoFormatId="16" applyNumberFormats="0" applyBorderFormats="0" applyFontFormats="0" applyPatternFormats="0" applyAlignmentFormats="0" applyWidthHeightFormats="0">
  <queryTableRefresh nextId="16">
    <queryTableFields count="15">
      <queryTableField id="1" name="معرف_الطلب" tableColumnId="1"/>
      <queryTableField id="2" name="تاريخ_الطلب" tableColumnId="2"/>
      <queryTableField id="3" name="معرف_العميل" tableColumnId="3"/>
      <queryTableField id="4" name="معرف_المنتج" tableColumnId="4"/>
      <queryTableField id="5" name="معرف_الفرع" tableColumnId="5"/>
      <queryTableField id="6" name="الكمية" tableColumnId="6"/>
      <queryTableField id="7" name="سعر_الوحدة" tableColumnId="7"/>
      <queryTableField id="8" name="الإجمالي_الفرعي" tableColumnId="8"/>
      <queryTableField id="9" name="نسبة_الخصم" tableColumnId="9"/>
      <queryTableField id="10" name="قيمة_الخصم" tableColumnId="10"/>
      <queryTableField id="11" name="قيمة_الضريبة" tableColumnId="11"/>
      <queryTableField id="12" name="تكلفة_الشحن" tableColumnId="12"/>
      <queryTableField id="13" name="الإجمالي_الكلّي" tableColumnId="13"/>
      <queryTableField id="14" name="طريقة_الدفع" tableColumnId="14"/>
      <queryTableField id="15" name="حالة_الطلب"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EB866EDD-7312-48D7-BC16-0F01DC264B6D}" autoFormatId="16" applyNumberFormats="0" applyBorderFormats="0" applyFontFormats="0" applyPatternFormats="0" applyAlignmentFormats="0" applyWidthHeightFormats="0">
  <queryTableRefresh nextId="9">
    <queryTableFields count="4">
      <queryTableField id="5" name="معرف_العميل" tableColumnId="5"/>
      <queryTableField id="6" name="اسم_العميل" tableColumnId="6"/>
      <queryTableField id="7" name="القطاع" tableColumnId="7"/>
      <queryTableField id="8" name="المدينة"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1B4592C6-DF82-4204-A302-6914DA47153B}" autoFormatId="16" applyNumberFormats="0" applyBorderFormats="0" applyFontFormats="0" applyPatternFormats="0" applyAlignmentFormats="0" applyWidthHeightFormats="0">
  <queryTableRefresh nextId="7">
    <queryTableFields count="3">
      <queryTableField id="4" name="معرف_الفرع" tableColumnId="4"/>
      <queryTableField id="5" name="اسم_الفرع" tableColumnId="5"/>
      <queryTableField id="6" name="الإقليم"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فرع" xr10:uid="{D48DB606-DD50-4D25-A0AB-7ADBC9DBB030}" sourceName="[جدول_الفروع].[اسم_الفرع]">
  <pivotTables>
    <pivotTable tabId="1" name="PivotTable4"/>
  </pivotTables>
  <data>
    <olap pivotCacheId="73378219">
      <levels count="2">
        <level uniqueName="[جدول_الفروع].[اسم_الفرع].[(All)]" sourceCaption="(All)" count="0"/>
        <level uniqueName="[جدول_الفروع].[اسم_الفرع].[اسم_الفرع]" sourceCaption="اسم_الفرع" count="5">
          <ranges>
            <range startItem="0">
              <i n="[جدول_الفروع].[اسم_الفرع].&amp;[فرع التحرير]" c="فرع التحرير"/>
              <i n="[جدول_الفروع].[اسم_الفرع].&amp;[فرع الجامعة]" c="فرع الجامعة"/>
              <i n="[جدول_الفروع].[اسم_الفرع].&amp;[فرع السلام]" c="فرع السلام"/>
              <i n="[جدول_الفروع].[اسم_الفرع].&amp;[فرع الناصر]" c="فرع الناصر"/>
              <i n="[جدول_الفروع].[اسم_الفرع].&amp;[فرع سموحة]" c="فرع سموحة"/>
            </range>
          </ranges>
        </level>
      </levels>
      <selections count="1">
        <selection n="[جدول_الفروع].[اسم_الفرع].[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تاريخ_الطلب" xr10:uid="{E119D94B-A582-4556-B0D5-FE9FB979484F}" sourceName="[جدول_المبيعات].[تاريخ_الطلب]">
  <pivotTables>
    <pivotTable tabId="1" name="PivotTable4"/>
  </pivotTables>
  <data>
    <olap pivotCacheId="73378219">
      <levels count="2">
        <level uniqueName="[جدول_المبيعات].[تاريخ_الطلب].[(All)]" sourceCaption="(All)" count="0"/>
        <level uniqueName="[جدول_المبيعات].[تاريخ_الطلب].[تاريخ_الطلب]" sourceCaption="تاريخ_الطلب" count="16">
          <ranges>
            <range startItem="0">
              <i n="[جدول_المبيعات].[تاريخ_الطلب].&amp;[2025-01-01T00:00:00]" c="01/01/2025"/>
              <i n="[جدول_المبيعات].[تاريخ_الطلب].&amp;[2025-01-02T00:00:00]" c="02/01/2025"/>
              <i n="[جدول_المبيعات].[تاريخ_الطلب].&amp;[2025-01-03T00:00:00]" c="03/01/2025"/>
              <i n="[جدول_المبيعات].[تاريخ_الطلب].&amp;[2025-01-04T00:00:00]" c="04/01/2025"/>
              <i n="[جدول_المبيعات].[تاريخ_الطلب].&amp;[2025-01-05T00:00:00]" c="05/01/2025"/>
              <i n="[جدول_المبيعات].[تاريخ_الطلب].&amp;[2025-01-06T00:00:00]" c="06/01/2025"/>
              <i n="[جدول_المبيعات].[تاريخ_الطلب].&amp;[2025-01-07T00:00:00]" c="07/01/2025"/>
              <i n="[جدول_المبيعات].[تاريخ_الطلب].&amp;[2025-01-08T00:00:00]" c="08/01/2025"/>
              <i n="[جدول_المبيعات].[تاريخ_الطلب].&amp;[2025-01-12T00:00:00]" c="12/01/2025"/>
              <i n="[جدول_المبيعات].[تاريخ_الطلب].&amp;[2025-01-13T00:00:00]" c="13/01/2025"/>
              <i n="[جدول_المبيعات].[تاريخ_الطلب].&amp;[2025-01-18T00:00:00]" c="18/01/2025"/>
              <i n="[جدول_المبيعات].[تاريخ_الطلب].&amp;[2025-01-21T00:00:00]" c="21/01/2025"/>
              <i n="[جدول_المبيعات].[تاريخ_الطلب].&amp;[2025-01-25T00:00:00]" c="25/01/2025"/>
              <i n="[جدول_المبيعات].[تاريخ_الطلب].&amp;[2025-01-29T00:00:00]" c="29/01/2025"/>
              <i n="[جدول_المبيعات].[تاريخ_الطلب].&amp;[2025-01-30T00:00:00]" c="30/01/2025"/>
              <i n="[جدول_المبيعات].[تاريخ_الطلب].&amp;[2025-02-02T00:00:00]" c="02/02/2025"/>
            </range>
          </ranges>
        </level>
      </levels>
      <selections count="1">
        <selection n="[جدول_المبيعات].[تاريخ_الطلب].[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دينة" xr10:uid="{AE9BA0DA-CD21-48C8-B737-F5EFD25BC5BE}" sourceName="[جدول_العملاء].[المدينة]">
  <pivotTables>
    <pivotTable tabId="1" name="PivotTable4"/>
  </pivotTables>
  <data>
    <olap pivotCacheId="73378219">
      <levels count="2">
        <level uniqueName="[جدول_العملاء].[المدينة].[(All)]" sourceCaption="(All)" count="0"/>
        <level uniqueName="[جدول_العملاء].[المدينة].[المدينة]" sourceCaption="المدينة" count="7">
          <ranges>
            <range startItem="0">
              <i n="[جدول_العملاء].[المدينة].&amp;[أسيوط]" c="أسيوط"/>
              <i n="[جدول_العملاء].[المدينة].&amp;[الإسكندرية]" c="الإسكندرية"/>
              <i n="[جدول_العملاء].[المدينة].&amp;[الزقازيق]" c="الزقازيق"/>
              <i n="[جدول_العملاء].[المدينة].&amp;[القاهرة]" c="القاهرة"/>
              <i n="[جدول_العملاء].[المدينة].&amp;[المنصورة]" c="المنصورة"/>
              <i n="[جدول_العملاء].[المدينة].&amp;[جيزة]" c="جيزة"/>
              <i n="[جدول_العملاء].[المدينة].&amp;[طنطا]" c="طنطا"/>
            </range>
          </ranges>
        </level>
      </levels>
      <selections count="1">
        <selection n="[جدول_العملاء].[المدينة].[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عميل" xr10:uid="{87B74967-2A50-47FF-89C2-C10AF7DD54FD}" sourceName="[جدول_العملاء].[اسم_العميل]">
  <pivotTables>
    <pivotTable tabId="1" name="PivotTable4"/>
  </pivotTables>
  <data>
    <olap pivotCacheId="73378219">
      <levels count="2">
        <level uniqueName="[جدول_العملاء].[اسم_العميل].[(All)]" sourceCaption="(All)" count="0"/>
        <level uniqueName="[جدول_العملاء].[اسم_العميل].[اسم_العميل]" sourceCaption="اسم_العميل" count="20">
          <ranges>
            <range startItem="0">
              <i n="[جدول_العملاء].[اسم_العميل].&amp;[ أحمد محمود]" c=" أحمد محمود"/>
              <i n="[جدول_العملاء].[اسم_العميل].&amp;[حسن متولي]" c="حسن متولي"/>
              <i n="[جدول_العملاء].[اسم_العميل].&amp;[خالد يوسف]" c="خالد يوسف"/>
              <i n="[جدول_العملاء].[اسم_العميل].&amp;[زينب عبد الله]" c="زينب عبد الله"/>
              <i n="[جدول_العملاء].[اسم_العميل].&amp;[سارة علي]" c="سارة علي"/>
              <i n="[جدول_العملاء].[اسم_العميل].&amp;[شركة الأمل]" c="شركة الأمل"/>
              <i n="[جدول_العملاء].[اسم_العميل].&amp;[شركة التقنية]" c="شركة التقنية"/>
              <i n="[جدول_العملاء].[اسم_العميل].&amp;[شركة الرواد]" c="شركة الرواد"/>
              <i n="[جدول_العملاء].[اسم_العميل].&amp;[شركة النيل]" c="شركة النيل"/>
              <i n="[جدول_العملاء].[اسم_العميل].&amp;[طارق العوضي]" c="طارق العوضي"/>
              <i n="[جدول_العملاء].[اسم_العميل].&amp;[علي حسن]" c="علي حسن"/>
              <i n="[جدول_العملاء].[اسم_العميل].&amp;[عمر الشريف]" c="عمر الشريف"/>
              <i n="[جدول_العملاء].[اسم_العميل].&amp;[فاطمة الزهراء]" c="فاطمة الزهراء"/>
              <i n="[جدول_العملاء].[اسم_العميل].&amp;[محمد مصطفى]" c="محمد مصطفى"/>
              <i n="[جدول_العملاء].[اسم_العميل].&amp;[مريم إبراهيم]" c="مريم إبراهيم"/>
              <i n="[جدول_العملاء].[اسم_العميل].&amp;[منى السيد]" c="منى السيد"/>
              <i n="[جدول_العملاء].[اسم_العميل].&amp;[مؤسسة المستقبل]" c="مؤسسة المستقبل"/>
              <i n="[جدول_العملاء].[اسم_العميل].&amp;[مؤسسة النور]" c="مؤسسة النور"/>
              <i n="[جدول_العملاء].[اسم_العميل].&amp;[نور الهدى]" c="نور الهدى"/>
              <i n="[جدول_العملاء].[اسم_العميل].&amp;[ياسر جلال]" c="ياسر جلال"/>
            </range>
          </ranges>
        </level>
      </levels>
      <selections count="1">
        <selection n="[جدول_العملاء].[اسم_العميل].[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فئة" xr10:uid="{A260CBD8-C5B2-4AA9-B180-49EB72DC6A96}" sourceName="[جدول_المنتجات].[الفئة]">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s>
  <data>
    <olap pivotCacheId="73378219">
      <levels count="2">
        <level uniqueName="[جدول_المنتجات].[الفئة].[(All)]" sourceCaption="(All)" count="0"/>
        <level uniqueName="[جدول_المنتجات].[الفئة].[الفئة]" sourceCaption="الفئة" count="3">
          <ranges>
            <range startItem="0">
              <i n="[جدول_المنتجات].[الفئة].&amp;[أثاث مكتب]" c="أثاث مكتب"/>
              <i n="[جدول_المنتجات].[الفئة].&amp;[إلكترونيات]" c="إلكترونيات"/>
              <i n="[جدول_المنتجات].[الفئة].&amp;[ملحقات]" c="ملحقات"/>
            </range>
          </ranges>
        </level>
      </levels>
      <selections count="1">
        <selection n="[جدول_المنتجات].[الفئة].[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سم_الفرع" xr10:uid="{FA8EE2F3-7B1A-42EE-929C-26B566C958FA}" cache="Slicer_اسم_الفرع" caption="اسم_الفرع" level="1" rowHeight="241300"/>
  <slicer name="تاريخ_الطلب" xr10:uid="{5D3A5051-1FF4-4747-94CC-BF17616E37D0}" cache="Slicer_تاريخ_الطلب" caption="تاريخ_الطلب" level="1" rowHeight="241300"/>
  <slicer name="المدينة" xr10:uid="{1883C552-48EA-47FA-A4C1-546E45E7A961}" cache="Slicer_المدينة" caption="المدينة" level="1" rowHeight="241300"/>
  <slicer name="اسم_العميل" xr10:uid="{9EC52AF1-83BD-4CEA-8D6D-602AF206BFC4}" cache="Slicer_اسم_العميل" caption="اسم_العميل" startItem="13" level="1" rowHeight="241300"/>
  <slicer name="الفئة" xr10:uid="{04B1C4E6-C07F-4EA5-8239-6B622853D85D}" cache="Slicer_الفئة" caption="الفئة"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792FED-4DA7-41BD-AABD-021DD63683FA}" name="جدول_المنتجات" displayName="جدول_المنتجات" ref="A1:D16" tableType="queryTable" totalsRowShown="0">
  <autoFilter ref="A1:D16" xr:uid="{1E792FED-4DA7-41BD-AABD-021DD63683FA}"/>
  <tableColumns count="4">
    <tableColumn id="1" xr3:uid="{51746816-2847-4657-A826-D92E60F2CE8A}" uniqueName="1" name="معرف_المنتج" queryTableFieldId="1" dataDxfId="15"/>
    <tableColumn id="2" xr3:uid="{9994015A-0381-4B0B-9B76-0E19CCACACC2}" uniqueName="2" name="اسم_المنتج" queryTableFieldId="2" dataDxfId="14"/>
    <tableColumn id="3" xr3:uid="{AAAEA6F7-D0AB-4BFE-8C40-611AEE5C0C93}" uniqueName="3" name="الفئة" queryTableFieldId="3" dataDxfId="13"/>
    <tableColumn id="4" xr3:uid="{9C6CB83A-B727-4517-AB5B-CD2EBD345CE7}" uniqueName="4" name="سعر_الوحدة"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B9A0AB-CBB5-4F6D-885B-02055FD2561C}" name="جدول_المبيعات" displayName="جدول_المبيعات" ref="A1:O21" tableType="queryTable" totalsRowShown="0">
  <autoFilter ref="A1:O21" xr:uid="{87B9A0AB-CBB5-4F6D-885B-02055FD2561C}"/>
  <tableColumns count="15">
    <tableColumn id="1" xr3:uid="{962B92C6-A91F-4FCC-BADB-1B1660BE1637}" uniqueName="1" name="معرف_الطلب" queryTableFieldId="1"/>
    <tableColumn id="2" xr3:uid="{7DEE2434-94F2-4A35-AF9C-8DCC810466AE}" uniqueName="2" name="تاريخ_الطلب" queryTableFieldId="2" dataDxfId="12"/>
    <tableColumn id="3" xr3:uid="{DFCC87DB-FB88-4F7D-9414-AC6D92B5F69E}" uniqueName="3" name="معرف_العميل" queryTableFieldId="3" dataDxfId="11"/>
    <tableColumn id="4" xr3:uid="{568E5D64-54F7-4022-93AF-9CC9D024DE57}" uniqueName="4" name="معرف_المنتج" queryTableFieldId="4" dataDxfId="10"/>
    <tableColumn id="5" xr3:uid="{AAA9C0E5-1778-42E3-AE83-FDD452CF72C8}" uniqueName="5" name="معرف_الفرع" queryTableFieldId="5" dataDxfId="9"/>
    <tableColumn id="6" xr3:uid="{335090CB-097A-4585-8513-C213EF672060}" uniqueName="6" name="الكمية" queryTableFieldId="6"/>
    <tableColumn id="7" xr3:uid="{01E354E7-E91C-487F-87B5-10C3164165FC}" uniqueName="7" name="سعر_الوحدة" queryTableFieldId="7"/>
    <tableColumn id="8" xr3:uid="{6D47E8B3-CC09-4040-90E7-9197F3B70D6A}" uniqueName="8" name="الإجمالي_الفرعي" queryTableFieldId="8"/>
    <tableColumn id="9" xr3:uid="{A5A95636-7FA2-4DEE-A1C7-82A825980317}" uniqueName="9" name="نسبة_الخصم" queryTableFieldId="9"/>
    <tableColumn id="10" xr3:uid="{2956FFBC-6BB4-4A52-B3C9-6695D3C51C13}" uniqueName="10" name="قيمة_الخصم" queryTableFieldId="10"/>
    <tableColumn id="11" xr3:uid="{8AE26DB6-5592-465E-ADBD-CC9412A9DB62}" uniqueName="11" name="قيمة_الضريبة" queryTableFieldId="11"/>
    <tableColumn id="12" xr3:uid="{B798C9E1-A89B-41DB-AE5E-E613C7B37080}" uniqueName="12" name="تكلفة_الشحن" queryTableFieldId="12"/>
    <tableColumn id="13" xr3:uid="{89554F0E-1A14-440F-A4D0-A393C8C44C4D}" uniqueName="13" name="الإجمالي_الكلّي" queryTableFieldId="13"/>
    <tableColumn id="14" xr3:uid="{EE8DAE8D-4BB3-4268-9FA9-C88360B5B94F}" uniqueName="14" name="طريقة_الدفع" queryTableFieldId="14" dataDxfId="8"/>
    <tableColumn id="15" xr3:uid="{7A0AC473-2008-4278-9CB3-51461B969549}" uniqueName="15" name="حالة_الطلب" queryTableFieldId="15"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1DEC42-36CA-4951-8A40-2FB6B713F0FE}" name="جدول_العملاء" displayName="جدول_العملاء" ref="A1:D21" tableType="queryTable" totalsRowShown="0">
  <autoFilter ref="A1:D21" xr:uid="{E51DEC42-36CA-4951-8A40-2FB6B713F0FE}"/>
  <tableColumns count="4">
    <tableColumn id="5" xr3:uid="{B400A233-6230-4EC6-9850-67D390E265A9}" uniqueName="5" name="معرف_العميل" queryTableFieldId="5" dataDxfId="6"/>
    <tableColumn id="6" xr3:uid="{61AE3805-7BA2-44D8-8F67-809C83A33A6B}" uniqueName="6" name="اسم_العميل" queryTableFieldId="6" dataDxfId="5"/>
    <tableColumn id="7" xr3:uid="{4ABAE044-5972-4998-9796-77DD3D1577BE}" uniqueName="7" name="القطاع" queryTableFieldId="7" dataDxfId="4"/>
    <tableColumn id="8" xr3:uid="{C6D84D52-D65D-4709-A24F-0D2F824417CE}" uniqueName="8" name="المدينة" queryTableFieldId="8"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422BB4-27F9-431C-AEE8-30725972EFBC}" name="جدول_الفروع" displayName="جدول_الفروع" ref="A1:C6" tableType="queryTable" totalsRowShown="0">
  <autoFilter ref="A1:C6" xr:uid="{66422BB4-27F9-431C-AEE8-30725972EFBC}"/>
  <tableColumns count="3">
    <tableColumn id="4" xr3:uid="{D3D887F7-0091-465B-B39E-DD8D4600299C}" uniqueName="4" name="معرف_الفرع" queryTableFieldId="4" dataDxfId="2"/>
    <tableColumn id="5" xr3:uid="{2AF1054B-34DC-4344-8386-28AE6E0ACD7F}" uniqueName="5" name="اسم_الفرع" queryTableFieldId="5" dataDxfId="1"/>
    <tableColumn id="6" xr3:uid="{D04D8560-B13A-4009-9C27-B8BCCE21E4C7}" uniqueName="6" name="الإقليم"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68AD1-6612-4FC0-BF2F-75816FD3BC0F}">
  <dimension ref="A1:D16"/>
  <sheetViews>
    <sheetView rightToLeft="1" workbookViewId="0">
      <selection activeCell="B14" sqref="B14"/>
    </sheetView>
  </sheetViews>
  <sheetFormatPr defaultRowHeight="14.5" x14ac:dyDescent="0.35"/>
  <cols>
    <col min="1" max="1" width="10.08984375" bestFit="1" customWidth="1"/>
    <col min="2" max="2" width="13.26953125" bestFit="1" customWidth="1"/>
    <col min="3" max="3" width="8.1796875" bestFit="1" customWidth="1"/>
    <col min="4" max="4" width="9.7265625" bestFit="1" customWidth="1"/>
  </cols>
  <sheetData>
    <row r="1" spans="1:4" x14ac:dyDescent="0.35">
      <c r="A1" t="s">
        <v>72</v>
      </c>
      <c r="B1" t="s">
        <v>105</v>
      </c>
      <c r="C1" t="s">
        <v>106</v>
      </c>
      <c r="D1" t="s">
        <v>74</v>
      </c>
    </row>
    <row r="2" spans="1:4" x14ac:dyDescent="0.35">
      <c r="A2" t="s">
        <v>83</v>
      </c>
      <c r="B2" t="s">
        <v>107</v>
      </c>
      <c r="C2" t="s">
        <v>108</v>
      </c>
      <c r="D2">
        <v>15000</v>
      </c>
    </row>
    <row r="3" spans="1:4" x14ac:dyDescent="0.35">
      <c r="A3" t="s">
        <v>92</v>
      </c>
      <c r="B3" t="s">
        <v>109</v>
      </c>
      <c r="C3" t="s">
        <v>110</v>
      </c>
      <c r="D3">
        <v>250</v>
      </c>
    </row>
    <row r="4" spans="1:4" x14ac:dyDescent="0.35">
      <c r="A4" t="s">
        <v>89</v>
      </c>
      <c r="B4" t="s">
        <v>111</v>
      </c>
      <c r="C4" t="s">
        <v>112</v>
      </c>
      <c r="D4">
        <v>4000</v>
      </c>
    </row>
    <row r="5" spans="1:4" x14ac:dyDescent="0.35">
      <c r="A5" t="s">
        <v>97</v>
      </c>
      <c r="B5" t="s">
        <v>113</v>
      </c>
      <c r="C5" t="s">
        <v>110</v>
      </c>
      <c r="D5" t="s">
        <v>114</v>
      </c>
    </row>
    <row r="6" spans="1:4" x14ac:dyDescent="0.35">
      <c r="A6" t="s">
        <v>104</v>
      </c>
      <c r="B6" t="s">
        <v>115</v>
      </c>
      <c r="C6" t="s">
        <v>112</v>
      </c>
      <c r="D6">
        <v>2500</v>
      </c>
    </row>
    <row r="7" spans="1:4" x14ac:dyDescent="0.35">
      <c r="A7" t="s">
        <v>94</v>
      </c>
      <c r="B7" t="s">
        <v>116</v>
      </c>
      <c r="C7" t="s">
        <v>112</v>
      </c>
      <c r="D7">
        <v>4500</v>
      </c>
    </row>
    <row r="8" spans="1:4" x14ac:dyDescent="0.35">
      <c r="A8" t="s">
        <v>100</v>
      </c>
      <c r="B8" t="s">
        <v>117</v>
      </c>
      <c r="C8" t="s">
        <v>118</v>
      </c>
      <c r="D8">
        <v>300</v>
      </c>
    </row>
    <row r="9" spans="1:4" x14ac:dyDescent="0.35">
      <c r="A9" t="s">
        <v>98</v>
      </c>
      <c r="B9" t="s">
        <v>119</v>
      </c>
      <c r="C9" t="s">
        <v>110</v>
      </c>
      <c r="D9">
        <v>8000</v>
      </c>
    </row>
    <row r="10" spans="1:4" x14ac:dyDescent="0.35">
      <c r="A10" t="s">
        <v>102</v>
      </c>
      <c r="B10" t="s">
        <v>120</v>
      </c>
      <c r="C10" t="s">
        <v>118</v>
      </c>
      <c r="D10">
        <v>1200</v>
      </c>
    </row>
    <row r="11" spans="1:4" x14ac:dyDescent="0.35">
      <c r="A11" t="s">
        <v>101</v>
      </c>
      <c r="B11" t="s">
        <v>121</v>
      </c>
      <c r="C11" t="s">
        <v>110</v>
      </c>
      <c r="D11">
        <v>150</v>
      </c>
    </row>
    <row r="12" spans="1:4" x14ac:dyDescent="0.35">
      <c r="A12" t="s">
        <v>103</v>
      </c>
      <c r="B12" t="s">
        <v>122</v>
      </c>
      <c r="C12" t="s">
        <v>110</v>
      </c>
      <c r="D12">
        <v>500</v>
      </c>
    </row>
    <row r="13" spans="1:4" x14ac:dyDescent="0.35">
      <c r="A13" t="s">
        <v>96</v>
      </c>
      <c r="B13" t="s">
        <v>123</v>
      </c>
      <c r="C13" t="s">
        <v>118</v>
      </c>
      <c r="D13">
        <v>300</v>
      </c>
    </row>
    <row r="14" spans="1:4" x14ac:dyDescent="0.35">
      <c r="A14" t="s">
        <v>99</v>
      </c>
      <c r="B14" t="s">
        <v>124</v>
      </c>
      <c r="C14" t="s">
        <v>118</v>
      </c>
      <c r="D14">
        <v>1200</v>
      </c>
    </row>
    <row r="15" spans="1:4" x14ac:dyDescent="0.35">
      <c r="A15" t="s">
        <v>86</v>
      </c>
      <c r="B15" t="s">
        <v>125</v>
      </c>
      <c r="C15" t="s">
        <v>110</v>
      </c>
      <c r="D15">
        <v>2500</v>
      </c>
    </row>
    <row r="16" spans="1:4" x14ac:dyDescent="0.35">
      <c r="A16" t="s">
        <v>91</v>
      </c>
      <c r="B16" t="s">
        <v>126</v>
      </c>
      <c r="C16" t="s">
        <v>108</v>
      </c>
      <c r="D16">
        <v>300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7250-3ACA-4C54-BCA8-1FDFA5220E91}">
  <dimension ref="A1:O21"/>
  <sheetViews>
    <sheetView rightToLeft="1" topLeftCell="D4" workbookViewId="0">
      <selection activeCell="J12" sqref="J12"/>
    </sheetView>
  </sheetViews>
  <sheetFormatPr defaultRowHeight="14.5" x14ac:dyDescent="0.35"/>
  <cols>
    <col min="1" max="1" width="10.36328125" bestFit="1" customWidth="1"/>
    <col min="2" max="2" width="10.453125" bestFit="1" customWidth="1"/>
    <col min="3" max="3" width="10.36328125" bestFit="1" customWidth="1"/>
    <col min="4" max="4" width="10.08984375" bestFit="1" customWidth="1"/>
    <col min="5" max="5" width="9.36328125" bestFit="1" customWidth="1"/>
    <col min="6" max="6" width="4.90625" bestFit="1" customWidth="1"/>
    <col min="7" max="7" width="9.7265625" bestFit="1" customWidth="1"/>
    <col min="8" max="8" width="11.453125" bestFit="1" customWidth="1"/>
    <col min="9" max="9" width="10.26953125" bestFit="1" customWidth="1"/>
    <col min="10" max="10" width="9.90625" bestFit="1" customWidth="1"/>
    <col min="11" max="11" width="10.08984375" bestFit="1" customWidth="1"/>
    <col min="12" max="12" width="10.36328125" bestFit="1" customWidth="1"/>
    <col min="13" max="13" width="10.453125" bestFit="1" customWidth="1"/>
    <col min="14" max="14" width="12" bestFit="1" customWidth="1"/>
    <col min="15" max="15" width="9.36328125" bestFit="1" customWidth="1"/>
  </cols>
  <sheetData>
    <row r="1" spans="1:15" x14ac:dyDescent="0.35">
      <c r="A1" t="s">
        <v>70</v>
      </c>
      <c r="B1" t="s">
        <v>71</v>
      </c>
      <c r="C1" t="s">
        <v>17</v>
      </c>
      <c r="D1" t="s">
        <v>72</v>
      </c>
      <c r="E1" t="s">
        <v>0</v>
      </c>
      <c r="F1" t="s">
        <v>73</v>
      </c>
      <c r="G1" t="s">
        <v>74</v>
      </c>
      <c r="H1" t="s">
        <v>75</v>
      </c>
      <c r="I1" t="s">
        <v>76</v>
      </c>
      <c r="J1" t="s">
        <v>77</v>
      </c>
      <c r="K1" t="s">
        <v>78</v>
      </c>
      <c r="L1" t="s">
        <v>79</v>
      </c>
      <c r="M1" t="s">
        <v>80</v>
      </c>
      <c r="N1" t="s">
        <v>81</v>
      </c>
      <c r="O1" t="s">
        <v>82</v>
      </c>
    </row>
    <row r="2" spans="1:15" x14ac:dyDescent="0.35">
      <c r="A2">
        <v>10001</v>
      </c>
      <c r="B2" s="1">
        <v>45658</v>
      </c>
      <c r="C2" t="s">
        <v>32</v>
      </c>
      <c r="D2" t="s">
        <v>83</v>
      </c>
      <c r="E2" t="s">
        <v>14</v>
      </c>
      <c r="F2">
        <v>6</v>
      </c>
      <c r="G2">
        <v>15000</v>
      </c>
      <c r="H2">
        <v>90000</v>
      </c>
      <c r="I2">
        <v>0</v>
      </c>
      <c r="J2">
        <v>0</v>
      </c>
      <c r="K2">
        <v>12600</v>
      </c>
      <c r="L2">
        <v>30</v>
      </c>
      <c r="M2">
        <v>102630</v>
      </c>
      <c r="N2" t="s">
        <v>84</v>
      </c>
      <c r="O2" t="s">
        <v>85</v>
      </c>
    </row>
    <row r="3" spans="1:15" x14ac:dyDescent="0.35">
      <c r="A3">
        <v>10002</v>
      </c>
      <c r="B3" s="1">
        <v>45658</v>
      </c>
      <c r="C3" t="s">
        <v>56</v>
      </c>
      <c r="D3" t="s">
        <v>86</v>
      </c>
      <c r="E3" t="s">
        <v>8</v>
      </c>
      <c r="F3">
        <v>5</v>
      </c>
      <c r="G3">
        <v>2500</v>
      </c>
      <c r="H3">
        <v>12500</v>
      </c>
      <c r="I3">
        <v>0</v>
      </c>
      <c r="J3">
        <v>0</v>
      </c>
      <c r="K3">
        <v>1750</v>
      </c>
      <c r="L3">
        <v>100</v>
      </c>
      <c r="M3">
        <v>14350</v>
      </c>
      <c r="N3" t="s">
        <v>87</v>
      </c>
      <c r="O3" t="s">
        <v>88</v>
      </c>
    </row>
    <row r="4" spans="1:15" x14ac:dyDescent="0.35">
      <c r="A4">
        <v>10003</v>
      </c>
      <c r="B4" s="1">
        <v>45659</v>
      </c>
      <c r="C4" t="s">
        <v>64</v>
      </c>
      <c r="D4" t="s">
        <v>89</v>
      </c>
      <c r="E4" t="s">
        <v>6</v>
      </c>
      <c r="F4">
        <v>3</v>
      </c>
      <c r="G4">
        <v>4000</v>
      </c>
      <c r="H4">
        <v>12000</v>
      </c>
      <c r="I4">
        <v>0.05</v>
      </c>
      <c r="J4">
        <v>600</v>
      </c>
      <c r="K4">
        <v>1596</v>
      </c>
      <c r="L4">
        <v>30</v>
      </c>
      <c r="M4">
        <v>13026</v>
      </c>
      <c r="N4" t="s">
        <v>90</v>
      </c>
      <c r="O4" t="s">
        <v>85</v>
      </c>
    </row>
    <row r="5" spans="1:15" x14ac:dyDescent="0.35">
      <c r="A5">
        <v>10004</v>
      </c>
      <c r="B5" s="1">
        <v>45659</v>
      </c>
      <c r="C5" t="s">
        <v>44</v>
      </c>
      <c r="D5" t="s">
        <v>91</v>
      </c>
      <c r="E5" t="s">
        <v>8</v>
      </c>
      <c r="F5">
        <v>9</v>
      </c>
      <c r="G5">
        <v>300</v>
      </c>
      <c r="H5">
        <v>2700</v>
      </c>
      <c r="I5">
        <v>0.1</v>
      </c>
      <c r="J5">
        <v>270</v>
      </c>
      <c r="K5">
        <v>340.2</v>
      </c>
      <c r="L5">
        <v>150</v>
      </c>
      <c r="M5">
        <v>2920.2</v>
      </c>
      <c r="N5" t="s">
        <v>87</v>
      </c>
      <c r="O5" t="s">
        <v>85</v>
      </c>
    </row>
    <row r="6" spans="1:15" x14ac:dyDescent="0.35">
      <c r="A6">
        <v>10005</v>
      </c>
      <c r="B6" s="1">
        <v>45660</v>
      </c>
      <c r="C6" t="s">
        <v>25</v>
      </c>
      <c r="D6" t="s">
        <v>92</v>
      </c>
      <c r="E6" t="s">
        <v>6</v>
      </c>
      <c r="F6">
        <v>5</v>
      </c>
      <c r="G6">
        <v>250</v>
      </c>
      <c r="H6">
        <v>1250</v>
      </c>
      <c r="I6">
        <v>0.05</v>
      </c>
      <c r="J6">
        <v>62.5</v>
      </c>
      <c r="K6">
        <v>166.25</v>
      </c>
      <c r="L6">
        <v>30</v>
      </c>
      <c r="M6">
        <v>1383.75</v>
      </c>
      <c r="N6" t="s">
        <v>93</v>
      </c>
      <c r="O6" t="s">
        <v>85</v>
      </c>
    </row>
    <row r="7" spans="1:15" x14ac:dyDescent="0.35">
      <c r="A7">
        <v>10006</v>
      </c>
      <c r="B7" s="1">
        <v>45661</v>
      </c>
      <c r="C7" t="s">
        <v>68</v>
      </c>
      <c r="D7" t="s">
        <v>92</v>
      </c>
      <c r="E7" t="s">
        <v>14</v>
      </c>
      <c r="F7">
        <v>5</v>
      </c>
      <c r="G7">
        <v>250</v>
      </c>
      <c r="H7">
        <v>1250</v>
      </c>
      <c r="I7">
        <v>0</v>
      </c>
      <c r="J7">
        <v>0</v>
      </c>
      <c r="K7">
        <v>175</v>
      </c>
      <c r="L7">
        <v>50</v>
      </c>
      <c r="M7">
        <v>1475</v>
      </c>
      <c r="N7" t="s">
        <v>90</v>
      </c>
      <c r="O7" t="s">
        <v>85</v>
      </c>
    </row>
    <row r="8" spans="1:15" x14ac:dyDescent="0.35">
      <c r="A8">
        <v>10007</v>
      </c>
      <c r="B8" s="1">
        <v>45661</v>
      </c>
      <c r="C8" t="s">
        <v>58</v>
      </c>
      <c r="D8" t="s">
        <v>94</v>
      </c>
      <c r="E8" t="s">
        <v>6</v>
      </c>
      <c r="F8">
        <v>14</v>
      </c>
      <c r="G8">
        <v>4500</v>
      </c>
      <c r="H8">
        <v>63000</v>
      </c>
      <c r="I8">
        <v>0.1</v>
      </c>
      <c r="J8">
        <v>6300</v>
      </c>
      <c r="K8">
        <v>7938</v>
      </c>
      <c r="L8">
        <v>100</v>
      </c>
      <c r="M8">
        <v>64738</v>
      </c>
      <c r="N8" t="s">
        <v>95</v>
      </c>
      <c r="O8" t="s">
        <v>85</v>
      </c>
    </row>
    <row r="9" spans="1:15" x14ac:dyDescent="0.35">
      <c r="A9">
        <v>10008</v>
      </c>
      <c r="B9" s="1">
        <v>45662</v>
      </c>
      <c r="C9" t="s">
        <v>39</v>
      </c>
      <c r="D9" t="s">
        <v>96</v>
      </c>
      <c r="E9" t="s">
        <v>11</v>
      </c>
      <c r="F9">
        <v>4</v>
      </c>
      <c r="G9">
        <v>300</v>
      </c>
      <c r="H9">
        <v>1200</v>
      </c>
      <c r="I9">
        <v>0.05</v>
      </c>
      <c r="J9">
        <v>60</v>
      </c>
      <c r="K9">
        <v>159.6</v>
      </c>
      <c r="L9">
        <v>30</v>
      </c>
      <c r="M9">
        <v>1329.6</v>
      </c>
      <c r="N9" t="s">
        <v>93</v>
      </c>
      <c r="O9" t="s">
        <v>88</v>
      </c>
    </row>
    <row r="10" spans="1:15" x14ac:dyDescent="0.35">
      <c r="A10">
        <v>10009</v>
      </c>
      <c r="B10" s="1">
        <v>45662</v>
      </c>
      <c r="C10" t="s">
        <v>51</v>
      </c>
      <c r="D10" t="s">
        <v>83</v>
      </c>
      <c r="E10" t="s">
        <v>3</v>
      </c>
      <c r="F10">
        <v>14</v>
      </c>
      <c r="G10">
        <v>15000</v>
      </c>
      <c r="H10">
        <v>210000</v>
      </c>
      <c r="I10">
        <v>0</v>
      </c>
      <c r="J10">
        <v>0</v>
      </c>
      <c r="K10">
        <v>29400</v>
      </c>
      <c r="L10">
        <v>80</v>
      </c>
      <c r="M10">
        <v>239480</v>
      </c>
      <c r="N10" t="s">
        <v>84</v>
      </c>
      <c r="O10" t="s">
        <v>85</v>
      </c>
    </row>
    <row r="11" spans="1:15" x14ac:dyDescent="0.35">
      <c r="A11">
        <v>10010</v>
      </c>
      <c r="B11" s="1">
        <v>45663</v>
      </c>
      <c r="C11" t="s">
        <v>41</v>
      </c>
      <c r="D11" t="s">
        <v>92</v>
      </c>
      <c r="E11" t="s">
        <v>3</v>
      </c>
      <c r="F11">
        <v>4</v>
      </c>
      <c r="G11">
        <v>250</v>
      </c>
      <c r="H11">
        <v>1000</v>
      </c>
      <c r="I11">
        <v>0.05</v>
      </c>
      <c r="J11">
        <v>50</v>
      </c>
      <c r="K11">
        <v>133</v>
      </c>
      <c r="L11">
        <v>30</v>
      </c>
      <c r="M11">
        <v>1113</v>
      </c>
      <c r="N11" t="s">
        <v>84</v>
      </c>
      <c r="O11" t="s">
        <v>85</v>
      </c>
    </row>
    <row r="12" spans="1:15" x14ac:dyDescent="0.35">
      <c r="A12">
        <v>10012</v>
      </c>
      <c r="B12" s="1">
        <v>45664</v>
      </c>
      <c r="C12" t="s">
        <v>29</v>
      </c>
      <c r="D12" t="s">
        <v>94</v>
      </c>
      <c r="E12" t="s">
        <v>11</v>
      </c>
      <c r="F12">
        <v>1</v>
      </c>
      <c r="G12">
        <v>4500</v>
      </c>
      <c r="H12">
        <v>4500</v>
      </c>
      <c r="I12">
        <v>0</v>
      </c>
      <c r="J12">
        <v>0</v>
      </c>
      <c r="K12">
        <v>630</v>
      </c>
      <c r="L12">
        <v>150</v>
      </c>
      <c r="M12">
        <v>5280</v>
      </c>
      <c r="N12" t="s">
        <v>93</v>
      </c>
      <c r="O12" t="s">
        <v>85</v>
      </c>
    </row>
    <row r="13" spans="1:15" x14ac:dyDescent="0.35">
      <c r="A13">
        <v>10014</v>
      </c>
      <c r="B13" s="1">
        <v>45665</v>
      </c>
      <c r="C13" t="s">
        <v>62</v>
      </c>
      <c r="D13" t="s">
        <v>91</v>
      </c>
      <c r="E13" t="s">
        <v>11</v>
      </c>
      <c r="F13">
        <v>9</v>
      </c>
      <c r="G13">
        <v>300</v>
      </c>
      <c r="H13">
        <v>2700</v>
      </c>
      <c r="I13">
        <v>0</v>
      </c>
      <c r="J13">
        <v>0</v>
      </c>
      <c r="K13">
        <v>378</v>
      </c>
      <c r="L13">
        <v>100</v>
      </c>
      <c r="M13">
        <v>3178</v>
      </c>
      <c r="N13" t="s">
        <v>93</v>
      </c>
      <c r="O13" t="s">
        <v>85</v>
      </c>
    </row>
    <row r="14" spans="1:15" x14ac:dyDescent="0.35">
      <c r="A14">
        <v>10020</v>
      </c>
      <c r="B14" s="1">
        <v>45669</v>
      </c>
      <c r="C14" t="s">
        <v>36</v>
      </c>
      <c r="D14" t="s">
        <v>100</v>
      </c>
      <c r="E14" t="s">
        <v>8</v>
      </c>
      <c r="F14">
        <v>1</v>
      </c>
      <c r="G14">
        <v>300</v>
      </c>
      <c r="H14">
        <v>300</v>
      </c>
      <c r="I14">
        <v>0</v>
      </c>
      <c r="J14">
        <v>0</v>
      </c>
      <c r="K14">
        <v>42</v>
      </c>
      <c r="L14">
        <v>50</v>
      </c>
      <c r="M14">
        <v>392</v>
      </c>
      <c r="N14" t="s">
        <v>95</v>
      </c>
      <c r="O14" t="s">
        <v>85</v>
      </c>
    </row>
    <row r="15" spans="1:15" x14ac:dyDescent="0.35">
      <c r="A15">
        <v>10021</v>
      </c>
      <c r="B15" s="1">
        <v>45670</v>
      </c>
      <c r="C15" t="s">
        <v>46</v>
      </c>
      <c r="D15" t="s">
        <v>89</v>
      </c>
      <c r="E15" t="s">
        <v>14</v>
      </c>
      <c r="F15">
        <v>6</v>
      </c>
      <c r="G15">
        <v>4000</v>
      </c>
      <c r="H15">
        <v>24000</v>
      </c>
      <c r="I15">
        <v>0.05</v>
      </c>
      <c r="J15">
        <v>1200</v>
      </c>
      <c r="K15">
        <v>3192</v>
      </c>
      <c r="L15">
        <v>150</v>
      </c>
      <c r="M15">
        <v>26142</v>
      </c>
      <c r="N15" t="s">
        <v>90</v>
      </c>
      <c r="O15" t="s">
        <v>85</v>
      </c>
    </row>
    <row r="16" spans="1:15" x14ac:dyDescent="0.35">
      <c r="A16">
        <v>10029</v>
      </c>
      <c r="B16" s="1">
        <v>45675</v>
      </c>
      <c r="C16" t="s">
        <v>60</v>
      </c>
      <c r="D16" t="s">
        <v>100</v>
      </c>
      <c r="E16" t="s">
        <v>11</v>
      </c>
      <c r="F16">
        <v>14</v>
      </c>
      <c r="G16">
        <v>300</v>
      </c>
      <c r="H16">
        <v>4200</v>
      </c>
      <c r="I16">
        <v>0</v>
      </c>
      <c r="J16">
        <v>0</v>
      </c>
      <c r="K16">
        <v>588</v>
      </c>
      <c r="L16">
        <v>80</v>
      </c>
      <c r="M16">
        <v>4868</v>
      </c>
      <c r="N16" t="s">
        <v>95</v>
      </c>
      <c r="O16" t="s">
        <v>85</v>
      </c>
    </row>
    <row r="17" spans="1:15" x14ac:dyDescent="0.35">
      <c r="A17">
        <v>10035</v>
      </c>
      <c r="B17" s="1">
        <v>45678</v>
      </c>
      <c r="C17" t="s">
        <v>53</v>
      </c>
      <c r="D17" t="s">
        <v>98</v>
      </c>
      <c r="E17" t="s">
        <v>3</v>
      </c>
      <c r="F17">
        <v>14</v>
      </c>
      <c r="G17">
        <v>8000</v>
      </c>
      <c r="H17">
        <v>112000</v>
      </c>
      <c r="I17">
        <v>0</v>
      </c>
      <c r="J17">
        <v>0</v>
      </c>
      <c r="K17">
        <v>15680</v>
      </c>
      <c r="L17">
        <v>150</v>
      </c>
      <c r="M17">
        <v>127830</v>
      </c>
      <c r="N17" t="s">
        <v>90</v>
      </c>
      <c r="O17" t="s">
        <v>85</v>
      </c>
    </row>
    <row r="18" spans="1:15" x14ac:dyDescent="0.35">
      <c r="A18">
        <v>10042</v>
      </c>
      <c r="B18" s="1">
        <v>45682</v>
      </c>
      <c r="C18" t="s">
        <v>21</v>
      </c>
      <c r="D18" t="s">
        <v>103</v>
      </c>
      <c r="E18" t="s">
        <v>14</v>
      </c>
      <c r="F18">
        <v>1</v>
      </c>
      <c r="G18">
        <v>500</v>
      </c>
      <c r="H18">
        <v>500</v>
      </c>
      <c r="I18">
        <v>0.1</v>
      </c>
      <c r="J18">
        <v>50</v>
      </c>
      <c r="K18">
        <v>63</v>
      </c>
      <c r="L18">
        <v>50</v>
      </c>
      <c r="M18">
        <v>563</v>
      </c>
      <c r="N18" t="s">
        <v>87</v>
      </c>
      <c r="O18" t="s">
        <v>85</v>
      </c>
    </row>
    <row r="19" spans="1:15" x14ac:dyDescent="0.35">
      <c r="A19">
        <v>10048</v>
      </c>
      <c r="B19" s="1">
        <v>45686</v>
      </c>
      <c r="C19" t="s">
        <v>48</v>
      </c>
      <c r="D19" t="s">
        <v>91</v>
      </c>
      <c r="E19" t="s">
        <v>8</v>
      </c>
      <c r="F19">
        <v>6</v>
      </c>
      <c r="G19">
        <v>300</v>
      </c>
      <c r="H19">
        <v>1800</v>
      </c>
      <c r="I19">
        <v>0.2</v>
      </c>
      <c r="J19">
        <v>360</v>
      </c>
      <c r="K19">
        <v>201.6</v>
      </c>
      <c r="L19">
        <v>150</v>
      </c>
      <c r="M19">
        <v>1791.6</v>
      </c>
      <c r="N19" t="s">
        <v>84</v>
      </c>
      <c r="O19" t="s">
        <v>85</v>
      </c>
    </row>
    <row r="20" spans="1:15" x14ac:dyDescent="0.35">
      <c r="A20">
        <v>10049</v>
      </c>
      <c r="B20" s="1">
        <v>45687</v>
      </c>
      <c r="C20" t="s">
        <v>66</v>
      </c>
      <c r="D20" t="s">
        <v>104</v>
      </c>
      <c r="E20" t="s">
        <v>11</v>
      </c>
      <c r="F20">
        <v>7</v>
      </c>
      <c r="G20">
        <v>2500</v>
      </c>
      <c r="H20">
        <v>17500</v>
      </c>
      <c r="I20">
        <v>0.1</v>
      </c>
      <c r="J20">
        <v>1750</v>
      </c>
      <c r="K20">
        <v>2205</v>
      </c>
      <c r="L20">
        <v>30</v>
      </c>
      <c r="M20">
        <v>17985</v>
      </c>
      <c r="N20" t="s">
        <v>84</v>
      </c>
      <c r="O20" t="s">
        <v>85</v>
      </c>
    </row>
    <row r="21" spans="1:15" x14ac:dyDescent="0.35">
      <c r="A21">
        <v>10055</v>
      </c>
      <c r="B21" s="1">
        <v>45690</v>
      </c>
      <c r="C21" t="s">
        <v>34</v>
      </c>
      <c r="D21" t="s">
        <v>98</v>
      </c>
      <c r="E21" t="s">
        <v>8</v>
      </c>
      <c r="F21">
        <v>3</v>
      </c>
      <c r="G21">
        <v>8000</v>
      </c>
      <c r="H21">
        <v>24000</v>
      </c>
      <c r="I21">
        <v>0</v>
      </c>
      <c r="J21">
        <v>0</v>
      </c>
      <c r="K21">
        <v>3360</v>
      </c>
      <c r="L21">
        <v>50</v>
      </c>
      <c r="M21">
        <v>27410</v>
      </c>
      <c r="N21" t="s">
        <v>95</v>
      </c>
      <c r="O21" t="s">
        <v>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1B063-A2A3-45DF-B1C0-6163AF2BDE34}">
  <dimension ref="A1:D21"/>
  <sheetViews>
    <sheetView rightToLeft="1" workbookViewId="0">
      <selection activeCell="D17" sqref="C17:D17"/>
    </sheetView>
  </sheetViews>
  <sheetFormatPr defaultRowHeight="14.5" x14ac:dyDescent="0.35"/>
  <cols>
    <col min="1" max="1" width="10.36328125" bestFit="1" customWidth="1"/>
    <col min="2" max="2" width="12.6328125" bestFit="1" customWidth="1"/>
    <col min="3" max="3" width="5.26953125" bestFit="1" customWidth="1"/>
    <col min="4" max="4" width="7.81640625" bestFit="1" customWidth="1"/>
    <col min="5" max="5" width="10.54296875" bestFit="1" customWidth="1"/>
    <col min="6" max="6" width="12.6328125" bestFit="1" customWidth="1"/>
    <col min="7" max="8" width="10.54296875" bestFit="1" customWidth="1"/>
  </cols>
  <sheetData>
    <row r="1" spans="1:4" x14ac:dyDescent="0.35">
      <c r="A1" t="s">
        <v>17</v>
      </c>
      <c r="B1" t="s">
        <v>18</v>
      </c>
      <c r="C1" t="s">
        <v>19</v>
      </c>
      <c r="D1" t="s">
        <v>20</v>
      </c>
    </row>
    <row r="2" spans="1:4" x14ac:dyDescent="0.35">
      <c r="A2" t="s">
        <v>21</v>
      </c>
      <c r="B2" t="s">
        <v>22</v>
      </c>
      <c r="C2" t="s">
        <v>23</v>
      </c>
      <c r="D2" t="s">
        <v>24</v>
      </c>
    </row>
    <row r="3" spans="1:4" x14ac:dyDescent="0.35">
      <c r="A3" t="s">
        <v>25</v>
      </c>
      <c r="B3" t="s">
        <v>26</v>
      </c>
      <c r="C3" t="s">
        <v>27</v>
      </c>
      <c r="D3" t="s">
        <v>28</v>
      </c>
    </row>
    <row r="4" spans="1:4" x14ac:dyDescent="0.35">
      <c r="A4" t="s">
        <v>29</v>
      </c>
      <c r="B4" t="s">
        <v>30</v>
      </c>
      <c r="C4" t="s">
        <v>23</v>
      </c>
      <c r="D4" t="s">
        <v>31</v>
      </c>
    </row>
    <row r="5" spans="1:4" x14ac:dyDescent="0.35">
      <c r="A5" t="s">
        <v>32</v>
      </c>
      <c r="B5" t="s">
        <v>33</v>
      </c>
      <c r="C5" t="s">
        <v>23</v>
      </c>
      <c r="D5" t="s">
        <v>24</v>
      </c>
    </row>
    <row r="6" spans="1:4" x14ac:dyDescent="0.35">
      <c r="A6" t="s">
        <v>34</v>
      </c>
      <c r="B6" t="s">
        <v>35</v>
      </c>
      <c r="C6" t="s">
        <v>27</v>
      </c>
      <c r="D6" t="s">
        <v>10</v>
      </c>
    </row>
    <row r="7" spans="1:4" x14ac:dyDescent="0.35">
      <c r="A7" t="s">
        <v>36</v>
      </c>
      <c r="B7" t="s">
        <v>37</v>
      </c>
      <c r="C7" t="s">
        <v>27</v>
      </c>
      <c r="D7" t="s">
        <v>38</v>
      </c>
    </row>
    <row r="8" spans="1:4" x14ac:dyDescent="0.35">
      <c r="A8" t="s">
        <v>39</v>
      </c>
      <c r="B8" t="s">
        <v>40</v>
      </c>
      <c r="C8" t="s">
        <v>23</v>
      </c>
      <c r="D8" t="s">
        <v>28</v>
      </c>
    </row>
    <row r="9" spans="1:4" x14ac:dyDescent="0.35">
      <c r="A9" t="s">
        <v>41</v>
      </c>
      <c r="B9" t="s">
        <v>42</v>
      </c>
      <c r="C9" t="s">
        <v>43</v>
      </c>
      <c r="D9" t="s">
        <v>24</v>
      </c>
    </row>
    <row r="10" spans="1:4" x14ac:dyDescent="0.35">
      <c r="A10" t="s">
        <v>44</v>
      </c>
      <c r="B10" t="s">
        <v>45</v>
      </c>
      <c r="C10" t="s">
        <v>23</v>
      </c>
      <c r="D10" t="s">
        <v>31</v>
      </c>
    </row>
    <row r="11" spans="1:4" x14ac:dyDescent="0.35">
      <c r="A11" t="s">
        <v>46</v>
      </c>
      <c r="B11" t="s">
        <v>47</v>
      </c>
      <c r="C11" t="s">
        <v>23</v>
      </c>
      <c r="D11" t="s">
        <v>31</v>
      </c>
    </row>
    <row r="12" spans="1:4" x14ac:dyDescent="0.35">
      <c r="A12" t="s">
        <v>48</v>
      </c>
      <c r="B12" t="s">
        <v>49</v>
      </c>
      <c r="C12" t="s">
        <v>23</v>
      </c>
      <c r="D12" t="s">
        <v>50</v>
      </c>
    </row>
    <row r="13" spans="1:4" x14ac:dyDescent="0.35">
      <c r="A13" t="s">
        <v>51</v>
      </c>
      <c r="B13" t="s">
        <v>52</v>
      </c>
      <c r="C13" t="s">
        <v>23</v>
      </c>
      <c r="D13" t="s">
        <v>50</v>
      </c>
    </row>
    <row r="14" spans="1:4" x14ac:dyDescent="0.35">
      <c r="A14" t="s">
        <v>53</v>
      </c>
      <c r="B14" t="s">
        <v>54</v>
      </c>
      <c r="C14" t="s">
        <v>27</v>
      </c>
      <c r="D14" t="s">
        <v>55</v>
      </c>
    </row>
    <row r="15" spans="1:4" x14ac:dyDescent="0.35">
      <c r="A15" t="s">
        <v>56</v>
      </c>
      <c r="B15" t="s">
        <v>57</v>
      </c>
      <c r="C15" t="s">
        <v>23</v>
      </c>
      <c r="D15" t="s">
        <v>10</v>
      </c>
    </row>
    <row r="16" spans="1:4" x14ac:dyDescent="0.35">
      <c r="A16" t="s">
        <v>58</v>
      </c>
      <c r="B16" t="s">
        <v>59</v>
      </c>
      <c r="C16" t="s">
        <v>43</v>
      </c>
      <c r="D16" t="s">
        <v>24</v>
      </c>
    </row>
    <row r="17" spans="1:4" x14ac:dyDescent="0.35">
      <c r="A17" t="s">
        <v>60</v>
      </c>
      <c r="B17" t="s">
        <v>61</v>
      </c>
      <c r="C17" t="s">
        <v>27</v>
      </c>
      <c r="D17" t="s">
        <v>24</v>
      </c>
    </row>
    <row r="18" spans="1:4" x14ac:dyDescent="0.35">
      <c r="A18" t="s">
        <v>62</v>
      </c>
      <c r="B18" t="s">
        <v>63</v>
      </c>
      <c r="C18" t="s">
        <v>43</v>
      </c>
      <c r="D18" t="s">
        <v>55</v>
      </c>
    </row>
    <row r="19" spans="1:4" x14ac:dyDescent="0.35">
      <c r="A19" t="s">
        <v>64</v>
      </c>
      <c r="B19" t="s">
        <v>65</v>
      </c>
      <c r="C19" t="s">
        <v>43</v>
      </c>
      <c r="D19" t="s">
        <v>38</v>
      </c>
    </row>
    <row r="20" spans="1:4" x14ac:dyDescent="0.35">
      <c r="A20" t="s">
        <v>66</v>
      </c>
      <c r="B20" t="s">
        <v>67</v>
      </c>
      <c r="C20" t="s">
        <v>43</v>
      </c>
      <c r="D20" t="s">
        <v>38</v>
      </c>
    </row>
    <row r="21" spans="1:4" x14ac:dyDescent="0.35">
      <c r="A21" t="s">
        <v>68</v>
      </c>
      <c r="B21" t="s">
        <v>69</v>
      </c>
      <c r="C21" t="s">
        <v>43</v>
      </c>
      <c r="D21" t="s">
        <v>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75A44-CDCC-45AF-B9AC-9FAEEDB26613}">
  <dimension ref="A1:C6"/>
  <sheetViews>
    <sheetView rightToLeft="1" workbookViewId="0">
      <selection activeCell="B5" sqref="B5"/>
    </sheetView>
  </sheetViews>
  <sheetFormatPr defaultRowHeight="14.5" x14ac:dyDescent="0.35"/>
  <cols>
    <col min="1" max="1" width="9.36328125" bestFit="1" customWidth="1"/>
    <col min="2" max="2" width="8.7265625" bestFit="1" customWidth="1"/>
    <col min="3" max="3" width="9.81640625" bestFit="1" customWidth="1"/>
    <col min="4" max="6" width="10.54296875" bestFit="1" customWidth="1"/>
  </cols>
  <sheetData>
    <row r="1" spans="1:3" x14ac:dyDescent="0.35">
      <c r="A1" t="s">
        <v>0</v>
      </c>
      <c r="B1" t="s">
        <v>1</v>
      </c>
      <c r="C1" t="s">
        <v>2</v>
      </c>
    </row>
    <row r="2" spans="1:3" x14ac:dyDescent="0.35">
      <c r="A2" t="s">
        <v>3</v>
      </c>
      <c r="B2" t="s">
        <v>4</v>
      </c>
      <c r="C2" t="s">
        <v>5</v>
      </c>
    </row>
    <row r="3" spans="1:3" x14ac:dyDescent="0.35">
      <c r="A3" t="s">
        <v>6</v>
      </c>
      <c r="B3" t="s">
        <v>7</v>
      </c>
      <c r="C3" t="s">
        <v>5</v>
      </c>
    </row>
    <row r="4" spans="1:3" x14ac:dyDescent="0.35">
      <c r="A4" t="s">
        <v>8</v>
      </c>
      <c r="B4" t="s">
        <v>9</v>
      </c>
      <c r="C4" t="s">
        <v>10</v>
      </c>
    </row>
    <row r="5" spans="1:3" x14ac:dyDescent="0.35">
      <c r="A5" t="s">
        <v>11</v>
      </c>
      <c r="B5" t="s">
        <v>12</v>
      </c>
      <c r="C5" t="s">
        <v>13</v>
      </c>
    </row>
    <row r="6" spans="1:3" x14ac:dyDescent="0.35">
      <c r="A6" t="s">
        <v>14</v>
      </c>
      <c r="B6" t="s">
        <v>15</v>
      </c>
      <c r="C6" t="s">
        <v>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B3365-ADD4-4F0D-B44D-CF9FFD8379C6}">
  <dimension ref="C2:CA21"/>
  <sheetViews>
    <sheetView topLeftCell="BZ1" workbookViewId="0">
      <selection activeCell="R20" sqref="R20:S20"/>
    </sheetView>
  </sheetViews>
  <sheetFormatPr defaultRowHeight="14.5" x14ac:dyDescent="0.35"/>
  <cols>
    <col min="3" max="3" width="12.36328125" bestFit="1" customWidth="1"/>
    <col min="4" max="4" width="16.81640625" bestFit="1" customWidth="1"/>
    <col min="11" max="11" width="8.7265625" style="4"/>
    <col min="15" max="15" width="12.36328125" bestFit="1" customWidth="1"/>
    <col min="16" max="16" width="16.81640625" bestFit="1" customWidth="1"/>
    <col min="22" max="22" width="8.7265625" style="4"/>
    <col min="26" max="26" width="12.36328125" bestFit="1" customWidth="1"/>
    <col min="27" max="27" width="16.81640625" bestFit="1" customWidth="1"/>
    <col min="32" max="32" width="8.7265625" style="4"/>
    <col min="35" max="35" width="12.36328125" bestFit="1" customWidth="1"/>
    <col min="36" max="36" width="16.81640625" bestFit="1" customWidth="1"/>
    <col min="37" max="37" width="7.81640625" bestFit="1" customWidth="1"/>
    <col min="38" max="38" width="10.1796875" bestFit="1" customWidth="1"/>
    <col min="39" max="39" width="6.81640625" bestFit="1" customWidth="1"/>
    <col min="40" max="40" width="10.7265625" bestFit="1" customWidth="1"/>
    <col min="44" max="44" width="8.7265625" style="4"/>
    <col min="47" max="47" width="12.36328125" bestFit="1" customWidth="1"/>
    <col min="48" max="48" width="16.81640625" bestFit="1" customWidth="1"/>
    <col min="58" max="58" width="8.7265625" style="4"/>
    <col min="62" max="62" width="16.81640625" bestFit="1" customWidth="1"/>
    <col min="66" max="66" width="8.7265625" style="4"/>
    <col min="70" max="70" width="16.81640625" bestFit="1" customWidth="1"/>
    <col min="71" max="71" width="15.26953125" bestFit="1" customWidth="1"/>
    <col min="72" max="72" width="5.81640625" bestFit="1" customWidth="1"/>
    <col min="73" max="73" width="10.7265625" bestFit="1" customWidth="1"/>
    <col min="74" max="75" width="10.453125" bestFit="1" customWidth="1"/>
    <col min="76" max="76" width="10.453125" style="4" bestFit="1" customWidth="1"/>
    <col min="77" max="78" width="10.453125" bestFit="1" customWidth="1"/>
    <col min="79" max="79" width="10.81640625" bestFit="1" customWidth="1"/>
    <col min="80" max="86" width="10.453125" bestFit="1" customWidth="1"/>
    <col min="87" max="87" width="10.7265625" bestFit="1" customWidth="1"/>
  </cols>
  <sheetData>
    <row r="2" spans="3:79" x14ac:dyDescent="0.35">
      <c r="O2" s="2" t="s">
        <v>128</v>
      </c>
      <c r="P2" t="s">
        <v>127</v>
      </c>
      <c r="AU2" s="2" t="s">
        <v>128</v>
      </c>
      <c r="AV2" t="s">
        <v>127</v>
      </c>
      <c r="BJ2" t="s">
        <v>127</v>
      </c>
    </row>
    <row r="3" spans="3:79" x14ac:dyDescent="0.35">
      <c r="O3" s="3" t="s">
        <v>93</v>
      </c>
      <c r="P3" s="5">
        <v>1.6980699442752281E-2</v>
      </c>
      <c r="AU3" s="3" t="s">
        <v>13</v>
      </c>
      <c r="AV3" s="5">
        <v>4.9614434981546544E-2</v>
      </c>
      <c r="BJ3" s="6">
        <v>657885.15</v>
      </c>
      <c r="BR3" s="2" t="s">
        <v>127</v>
      </c>
      <c r="BS3" s="2" t="s">
        <v>130</v>
      </c>
      <c r="CA3" t="s">
        <v>132</v>
      </c>
    </row>
    <row r="4" spans="3:79" x14ac:dyDescent="0.35">
      <c r="C4" s="2" t="s">
        <v>128</v>
      </c>
      <c r="D4" t="s">
        <v>127</v>
      </c>
      <c r="O4" s="3" t="s">
        <v>87</v>
      </c>
      <c r="P4" s="5">
        <v>2.7106859001149366E-2</v>
      </c>
      <c r="Z4" s="2" t="s">
        <v>128</v>
      </c>
      <c r="AA4" t="s">
        <v>127</v>
      </c>
      <c r="AI4" s="2" t="s">
        <v>128</v>
      </c>
      <c r="AJ4" t="s">
        <v>127</v>
      </c>
      <c r="AU4" s="3" t="s">
        <v>10</v>
      </c>
      <c r="AV4" s="5">
        <v>7.123401402205233E-2</v>
      </c>
      <c r="BJ4" s="6">
        <f>GETPIVOTDATA("[Measures].[Sum of الإجمالي_الكلّي]",$BJ$2)</f>
        <v>657885.15</v>
      </c>
      <c r="BR4" s="2" t="s">
        <v>128</v>
      </c>
      <c r="BS4" t="s">
        <v>131</v>
      </c>
      <c r="BT4" t="s">
        <v>134</v>
      </c>
      <c r="BU4" t="s">
        <v>129</v>
      </c>
      <c r="CA4">
        <v>32894.2575</v>
      </c>
    </row>
    <row r="5" spans="3:79" x14ac:dyDescent="0.35">
      <c r="C5" s="3" t="s">
        <v>122</v>
      </c>
      <c r="D5" s="5">
        <v>8.5577247031643747E-4</v>
      </c>
      <c r="O5" s="3" t="s">
        <v>95</v>
      </c>
      <c r="P5" s="5">
        <v>0.14806231756409155</v>
      </c>
      <c r="Z5" s="3" t="s">
        <v>110</v>
      </c>
      <c r="AA5" s="5">
        <v>0.26467347682190423</v>
      </c>
      <c r="AI5" s="3" t="s">
        <v>12</v>
      </c>
      <c r="AJ5" s="5">
        <v>4.9614434981546544E-2</v>
      </c>
      <c r="AU5" s="3" t="s">
        <v>16</v>
      </c>
      <c r="AV5" s="5">
        <v>0.19883409741046745</v>
      </c>
      <c r="BR5" s="7">
        <v>45658</v>
      </c>
      <c r="BS5">
        <v>116980</v>
      </c>
      <c r="BU5">
        <v>116980</v>
      </c>
      <c r="CA5" s="8">
        <f>GETPIVOTDATA("[Measures].[متوسط الربح]",$CA$3)</f>
        <v>32894.2575</v>
      </c>
    </row>
    <row r="6" spans="3:79" x14ac:dyDescent="0.35">
      <c r="C6" s="3" t="s">
        <v>123</v>
      </c>
      <c r="D6" s="5">
        <v>2.0210214503245741E-3</v>
      </c>
      <c r="O6" s="3" t="s">
        <v>90</v>
      </c>
      <c r="P6" s="5">
        <v>0.25608269163698255</v>
      </c>
      <c r="Z6" s="3" t="s">
        <v>118</v>
      </c>
      <c r="AA6" s="5">
        <v>0.20331907476555749</v>
      </c>
      <c r="AI6" s="3" t="s">
        <v>9</v>
      </c>
      <c r="AJ6" s="5">
        <v>7.123401402205233E-2</v>
      </c>
      <c r="AU6" s="3" t="s">
        <v>5</v>
      </c>
      <c r="AV6" s="5">
        <v>0.68031745358593365</v>
      </c>
      <c r="BR6" s="7">
        <v>45659</v>
      </c>
      <c r="BS6">
        <v>15946.2</v>
      </c>
      <c r="BU6">
        <v>15946.2</v>
      </c>
    </row>
    <row r="7" spans="3:79" x14ac:dyDescent="0.35">
      <c r="C7" s="3" t="s">
        <v>109</v>
      </c>
      <c r="D7" s="5">
        <v>6.0371479733202669E-3</v>
      </c>
      <c r="O7" s="3" t="s">
        <v>84</v>
      </c>
      <c r="P7" s="5">
        <v>0.55176743235502423</v>
      </c>
      <c r="Z7" s="3" t="s">
        <v>133</v>
      </c>
      <c r="AA7" s="5">
        <v>0.53200744841253822</v>
      </c>
      <c r="AI7" s="3" t="s">
        <v>7</v>
      </c>
      <c r="AJ7" s="5">
        <v>0.12030633310388598</v>
      </c>
      <c r="AU7" s="3" t="s">
        <v>129</v>
      </c>
      <c r="AV7" s="5">
        <v>1</v>
      </c>
      <c r="BR7" s="7">
        <v>45660</v>
      </c>
      <c r="BS7">
        <v>1383.75</v>
      </c>
      <c r="BU7">
        <v>1383.75</v>
      </c>
    </row>
    <row r="8" spans="3:79" x14ac:dyDescent="0.35">
      <c r="C8" s="3" t="s">
        <v>117</v>
      </c>
      <c r="D8" s="5">
        <v>7.9953165077521499E-3</v>
      </c>
      <c r="O8" s="3" t="s">
        <v>129</v>
      </c>
      <c r="P8" s="5">
        <v>1</v>
      </c>
      <c r="Z8" s="3" t="s">
        <v>129</v>
      </c>
      <c r="AA8" s="5">
        <v>1</v>
      </c>
      <c r="AI8" s="3" t="s">
        <v>15</v>
      </c>
      <c r="AJ8" s="5">
        <v>0.19883409741046745</v>
      </c>
      <c r="BR8" s="7">
        <v>45661</v>
      </c>
      <c r="BS8">
        <v>66213</v>
      </c>
      <c r="BU8">
        <v>66213</v>
      </c>
    </row>
    <row r="9" spans="3:79" x14ac:dyDescent="0.35">
      <c r="C9" s="3" t="s">
        <v>126</v>
      </c>
      <c r="D9" s="5">
        <v>1.1992670757198273E-2</v>
      </c>
      <c r="AI9" s="3" t="s">
        <v>4</v>
      </c>
      <c r="AJ9" s="5">
        <v>0.5600111204820476</v>
      </c>
      <c r="BR9" s="7">
        <v>45662</v>
      </c>
      <c r="BS9">
        <v>240809.60000000001</v>
      </c>
      <c r="BU9">
        <v>240809.60000000001</v>
      </c>
    </row>
    <row r="10" spans="3:79" x14ac:dyDescent="0.35">
      <c r="C10" s="3" t="s">
        <v>125</v>
      </c>
      <c r="D10" s="5">
        <v>2.1812317849095698E-2</v>
      </c>
      <c r="AI10" s="3" t="s">
        <v>129</v>
      </c>
      <c r="AJ10" s="5">
        <v>1</v>
      </c>
      <c r="BR10" s="7">
        <v>45663</v>
      </c>
      <c r="BS10">
        <v>1113</v>
      </c>
      <c r="BU10">
        <v>1113</v>
      </c>
    </row>
    <row r="11" spans="3:79" x14ac:dyDescent="0.35">
      <c r="C11" s="3" t="s">
        <v>115</v>
      </c>
      <c r="D11" s="5">
        <v>2.7337598363483352E-2</v>
      </c>
      <c r="BR11" s="7">
        <v>45664</v>
      </c>
      <c r="BS11">
        <v>5280</v>
      </c>
      <c r="BU11">
        <v>5280</v>
      </c>
    </row>
    <row r="12" spans="3:79" x14ac:dyDescent="0.35">
      <c r="C12" s="3" t="s">
        <v>111</v>
      </c>
      <c r="D12" s="5">
        <v>5.9536227561908031E-2</v>
      </c>
      <c r="BR12" s="7">
        <v>45665</v>
      </c>
      <c r="BS12">
        <v>3178</v>
      </c>
      <c r="BU12">
        <v>3178</v>
      </c>
    </row>
    <row r="13" spans="3:79" x14ac:dyDescent="0.35">
      <c r="C13" s="3" t="s">
        <v>116</v>
      </c>
      <c r="D13" s="5">
        <v>0.10642891088208938</v>
      </c>
      <c r="BR13" s="7">
        <v>45669</v>
      </c>
      <c r="BS13">
        <v>392</v>
      </c>
      <c r="BU13">
        <v>392</v>
      </c>
    </row>
    <row r="14" spans="3:79" x14ac:dyDescent="0.35">
      <c r="C14" s="3" t="s">
        <v>119</v>
      </c>
      <c r="D14" s="5">
        <v>0.23596823852917184</v>
      </c>
      <c r="BR14" s="7">
        <v>45670</v>
      </c>
      <c r="BS14">
        <v>26142</v>
      </c>
      <c r="BU14">
        <v>26142</v>
      </c>
    </row>
    <row r="15" spans="3:79" x14ac:dyDescent="0.35">
      <c r="C15" s="3" t="s">
        <v>107</v>
      </c>
      <c r="D15" s="5">
        <v>0.52001477765533999</v>
      </c>
      <c r="BR15" s="7">
        <v>45675</v>
      </c>
      <c r="BS15">
        <v>4868</v>
      </c>
      <c r="BU15">
        <v>4868</v>
      </c>
    </row>
    <row r="16" spans="3:79" x14ac:dyDescent="0.35">
      <c r="C16" s="3" t="s">
        <v>129</v>
      </c>
      <c r="D16" s="5">
        <v>1</v>
      </c>
      <c r="BR16" s="7">
        <v>45678</v>
      </c>
      <c r="BS16">
        <v>127830</v>
      </c>
      <c r="BU16">
        <v>127830</v>
      </c>
    </row>
    <row r="17" spans="70:73" x14ac:dyDescent="0.35">
      <c r="BR17" s="7">
        <v>45682</v>
      </c>
      <c r="BS17">
        <v>563</v>
      </c>
      <c r="BU17">
        <v>563</v>
      </c>
    </row>
    <row r="18" spans="70:73" x14ac:dyDescent="0.35">
      <c r="BR18" s="7">
        <v>45686</v>
      </c>
      <c r="BS18">
        <v>1791.6</v>
      </c>
      <c r="BU18">
        <v>1791.6</v>
      </c>
    </row>
    <row r="19" spans="70:73" x14ac:dyDescent="0.35">
      <c r="BR19" s="7">
        <v>45687</v>
      </c>
      <c r="BS19">
        <v>17985</v>
      </c>
      <c r="BU19">
        <v>17985</v>
      </c>
    </row>
    <row r="20" spans="70:73" x14ac:dyDescent="0.35">
      <c r="BR20" s="7">
        <v>45690</v>
      </c>
      <c r="BT20">
        <v>27410</v>
      </c>
      <c r="BU20">
        <v>27410</v>
      </c>
    </row>
    <row r="21" spans="70:73" x14ac:dyDescent="0.35">
      <c r="BR21" s="3" t="s">
        <v>129</v>
      </c>
      <c r="BS21">
        <v>630475.15</v>
      </c>
      <c r="BT21">
        <v>27410</v>
      </c>
      <c r="BU21">
        <v>657885.15</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50A67-1DE9-4AFB-8273-7B344EAFDC00}">
  <dimension ref="A1:A2"/>
  <sheetViews>
    <sheetView showGridLines="0" tabSelected="1" topLeftCell="E1" zoomScaleNormal="100" workbookViewId="0">
      <selection activeCell="V22" sqref="V22"/>
    </sheetView>
  </sheetViews>
  <sheetFormatPr defaultRowHeight="14.5" x14ac:dyDescent="0.35"/>
  <sheetData>
    <row r="1" customFormat="1" x14ac:dyDescent="0.35"/>
    <row r="2" customForma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��,/HD_'DE(J9'*,/HD_'DEF*,'*,/HD_'D9ED'!,/HD_'DA1H9
</file>

<file path=customXml/item2.xml>��
</file>

<file path=customXml/item3.xml>��
</file>

<file path=customXml/item4.xml>��5'AI 'D1(-5'AI 'D1(-E*H37 'D1(-E*H37 'D1(-
</file>

<file path=customXml/item5.xml>��,/HD_'DEF*,'*,/HD_'DEF*,'*E91A_'DEF*,'3E_'DEF*,'DA&)391_'DH-/),/HD_'D9ED'!,/HD_'D9ED'!E91A_'D9EJD'3E_'D9EJD'DB7'9'DE/JF),/HD_'DA1H9,/HD_'DA1H9E91A_'DA19'3E_'DA19'D%BDJE,/HD_'DE(J9'*,/HD_'DE(J9'*E91A_'D7D(*'1J._'D7D(E91A_'D9EJDE91A_'DEF*,E91A_'DA19'DCEJ)391_'DH-/)'D%,E'DJ_'DA19JF3()_'D.5EBJE)_'D.5EBJE)_'D61J()*CDA)_'D4-F'D%,E'DJ_'DCDQJ71JB)_'D/A9-'D)_'D7D(*'1J._'D7D(*'1J._'D7D(
</file>

<file path=customXml/item6.xml>��5'AI 'D1(-5'AI 'D1(-E*H37 'D1(-E*H37 'D1(-
</file>

<file path=customXml/item7.xml>��5'AI 'D1(-5'AI 'D1(-E*H37 'D1(-E*H37 'D1(-
</file>

<file path=customXml/item8.xml>��5'AI 'D1(-5'AI 'D1(-E*H37 'D1(-E*H37 'D1(-
</file>

<file path=customXml/item9.xml>��5'AI 'D1(-5'AI 'D1(-E*H37 'D1(-E*H37 'D1(-
</file>

<file path=customXml/item10.xml>��
</file>

<file path=customXml/item11.xml>��,/HD_'D9ED'!,/HD_'D9ED'!,/HD_'DA1H9,/HD_'DA1H9E91A_'DA19'3E_'DA19'D%BDJEE91A_'DA19'3E_'DA19'D%BDJE,/HD_'DE(J9'*,/HD_'DEF*,'*,/HD_'D9ED'!,/HD_'DA1H9,/HD_'DE(J9'*,/HD_'DE(J9'*E91A_'D7D(,/HD_'DE(J9'**'1J._'D7D(,/HD_'DE(J9'*E91A_'D9EJD,/HD_'DE(J9'*E91A_'DEF*,,/HD_'DE(J9'*E91A_'DA19,/HD_'DE(J9'*'DCEJ),/HD_'DE(J9'*391_'DH-/),/HD_'DE(J9'*'D%,E'DJ_'DA19J,/HD_'DE(J9'*F3()_'D.5E,/HD_'DE(J9'*BJE)_'D.5E,/HD_'DE(J9'*BJE)_'D61J(),/HD_'DE(J9'**CDA)_'D4-F,/HD_'DE(J9'*'D%,E'DJ_'DCDQJ,/HD_'DE(J9'*71JB)_'D/A9,/HD_'DE(J9'*-'D)_'D7D(,/HD_'DE(J9'*5'AI 'D1(-,/HD_'DEF*,'*,/HD_'DEF*,'*E91A_'DEF*,,/HD_'DEF*,'*'3E_'DEF*,,/HD_'DEF*,'*'DA&),/HD_'DEF*,'*391_'DH-/),/HD_'D9ED'!,/HD_'D9ED'!E91A_'D9EJD,/HD_'D9ED'!'3E_'D9EJD,/HD_'D9ED'!'DB7'9,/HD_'D9ED'!'DE/JF),/HD_'DA1H9,/HD_'DA1H9E91A_'DA19,/HD_'DA1H9'3E_'DA19,/HD_'DA1H9'D%BDJE,/HD_'DE(J9'*E91A_'DA19,/HD_'DA1H9E91A_'DA19,/HD_'DE(J9'*E91A_'DA19,/HD_'DA1H9E91A_'DA19,/HD_'DE(J9'*E91A_'DA19,/HD_'DA1H9E91A_'DA19,/HD_'DE(J9'*E91A_'DA19,/HD_'DA1H9E91A_'DA19,/HD_'DE(J9'*E91A_'DEF*,,/HD_'DEF*,'*E91A_'DEF*,,/HD_'DE(J9'*E91A_'DEF*,,/HD_'DEF*,'*E91A_'DEF*,,/HD_'DE(J9'*E91A_'DEF*,,/HD_'DEF*,'*E91A_'DEF*,,/HD_'DE(J9'*E91A_'DEF*,,/HD_'DEF*,'*E91A_'DEF*,,/HD_'D9ED'!E91A_'D9EJD,/HD_'DE(J9'*E91A_'D9EJD,/HD_'D9ED'!E91A_'D9EJD,/HD_'DE(J9'*E91A_'D9EJD,/HD_'D9ED'!E91A_'D9EJD,/HD_'DE(J9'*E91A_'D9EJD,/HD_'D9ED'!E91A_'D9EJD,/HD_'DE(J9'*E91A_'D9EJD,/HD_'D9ED'!'DE/JF),/HD_'DE(J9'*,/HD_'DEF*,'*,/HD_'D9ED'!,/HD_'DA1H9,/HD_'DE(J9'*,/HD_'DE(J9'*E91A_'D7D(,/HD_'DE(J9'**'1J._'D7D(,/HD_'DE(J9'*E91A_'D9EJD,/HD_'DE(J9'*E91A_'DEF*,,/HD_'DE(J9'*E91A_'DA19,/HD_'DE(J9'*'DCEJ),/HD_'DE(J9'*391_'DH-/),/HD_'DE(J9'*'D%,E'DJ_'DA19J,/HD_'DE(J9'*F3()_'D.5E,/HD_'DE(J9'*BJE)_'D.5E,/HD_'DE(J9'*BJE)_'D61J(),/HD_'DE(J9'**CDA)_'D4-F,/HD_'DE(J9'*'D%,E'DJ_'DCDQJ,/HD_'DE(J9'*71JB)_'D/A9,/HD_'DE(J9'*-'D)_'D7D(,/HD_'DE(J9'*5'AI 'D1(-,/HD_'DEF*,'*,/HD_'DEF*,'*E91A_'DEF*,,/HD_'DEF*,'*'3E_'DEF*,,/HD_'DEF*,'*'DA&),/HD_'DEF*,'*391_'DH-/),/HD_'D9ED'!,/HD_'D9ED'!E91A_'D9EJD,/HD_'D9ED'!'3E_'D9EJD,/HD_'D9ED'!'DB7'9,/HD_'D9ED'!'DE/JF),/HD_'DA1H9,/HD_'DA1H9E91A_'DA19,/HD_'DA1H9'3E_'DA19,/HD_'DA1H9'D%BDJE,/HD_'DE(J9'*E91A_'DA19,/HD_'DA1H9E91A_'DA19,/HD_'DE(J9'*E91A_'DA19,/HD_'DA1H9E91A_'DA19,/HD_'DE(J9'*E91A_'DA19,/HD_'DA1H9E91A_'DA19,/HD_'DE(J9'*E91A_'DA19,/HD_'DA1H9E91A_'DA19,/HD_'DE(J9'*E91A_'DEF*,,/HD_'DEF*,'*E91A_'DEF*,,/HD_'DE(J9'*E91A_'DEF*,,/HD_'DEF*,'*E91A_'DEF*,,/HD_'DE(J9'*E91A_'DEF*,,/HD_'DEF*,'*E91A_'DEF*,,/HD_'DE(J9'*E91A_'DEF*,,/HD_'DEF*,'*E91A_'DEF*,,/HD_'D9ED'!E91A_'D9EJD,/HD_'DE(J9'*E91A_'D9EJD,/HD_'D9ED'!E91A_'D9EJD,/HD_'DE(J9'*E91A_'D9EJD,/HD_'D9ED'!E91A_'D9EJD,/HD_'DE(J9'*E91A_'D9EJD,/HD_'D9ED'!E91A_'D9EJD,/HD_'DE(J9'*E91A_'D9EJD,/HD_'DEF*,'*,/HD_'DEF*,'*E91A_'DEF*,'3E_'DEF*,'DA&)391_'DH-/)E91A_'DEF*,'3E_'DEF*,'DA&)391_'DH-/),/HD_'DE(J9'*,/HD_'DE(J9'*'D%,E'DJ_'DCDQJ'D%,E'DJ_'DCDQJ'D%,E'DJ_'DCDQJ*CDA)_'D4-F*CDA)_'D4-F*CDA)_'D4-F'D%,E'DJ_'DA19J'D%,E'DJ_'DA19J'D%,E'DJ_'DA19J391_'DH-/)391_'DH-/)391_'DH-/)'DCEJ)'DCEJ)'DCEJ)5'AI 'D1(-5'AI 'D1(-5'AI 'D1(-E*H37 'D1(-E*H37 'D1(-E*H37 'D1(-E91A_'D7D(*'1J._'D7D(E91A_'D9EJDE91A_'DEF*,E91A_'DA19'DCEJ)391_'DH-/)'D%,E'DJ_'DA19JF3()_'D.5EBJE)_'D.5EBJE)_'D61J()*CDA)_'D4-F'D%,E'DJ_'DCDQJ71JB)_'D/A9-'D)_'D7D(*'1J._'D7D(*'1J._'D7D('D%,E'DJ_'DCDQJ'D%,E'DJ_'DCDQJ'D%,E'DJ_'DCDQJ'D%,E'DJ_'DCDQJ'D%,E'DJ_'DCDQJ'D%,E'DJ_'DCDQJ*CDA)_'D4-F*CDA)_'D4-F*CDA)_'D4-F*CDA)_'D4-F*CDA)_'D4-F*CDA)_'D4-F'D%,E'DJ_'DA19J'D%,E'DJ_'DA19J'D%,E'DJ_'DA19J'D%,E'DJ_'DA19J'D%,E'DJ_'DA19J'D%,E'DJ_'DA19J391_'DH-/)391_'DH-/)391_'DH-/)391_'DH-/)391_'DH-/)391_'DH-/)'DCEJ)'DCEJ)'DCEJ)'DCEJ)'DCEJ)'DCEJ)'D%,E'DJ_'DCDQJ'D%,E'DJ_'DCDQJ'D%,E'DJ_'DCDQJ*CDA)_'D4-F*CDA)_'D4-F*CDA)_'D4-F'D%,E'DJ_'DA19J'D%,E'DJ_'DA19J'D%,E'DJ_'DA19J391_'DH-/)391_'DH-/)391_'DH-/)'DCEJ)'DCEJ)'DCEJ)5'AI 'D1(-5'AI 'D1(-5'AI 'D1(-E*H37 'D1(-E*H37 'D1(-E*H37 'D1(-E91A_'D7D(*'1J._'D7D(E91A_'D9EJDE91A_'DEF*,E91A_'DA19'DCEJ)391_'DH-/)'D%,E'DJ_'DA19JF3()_'D.5EBJE)_'D.5EBJE)_'D61J()*CDA)_'D4-F'D%,E'DJ_'DCDQJ71JB)_'D/A9-'D)_'D7D(*'1J._'D7D(*'1J._'D7D('D%,E'DJ_'DCDQJ'D%,E'DJ_'DCDQJ'D%,E'DJ_'DCDQJ'D%,E'DJ_'DCDQJ'D%,E'DJ_'DCDQJ'D%,E'DJ_'DCDQJ*CDA)_'D4-F*CDA)_'D4-F*CDA)_'D4-F*CDA)_'D4-F*CDA)_'D4-F*CDA)_'D4-F'D%,E'DJ_'DA19J'D%,E'DJ_'DA19J'D%,E'DJ_'DA19J'D%,E'DJ_'DA19J'D%,E'DJ_'DA19J'D%,E'DJ_'DA19J391_'DH-/)391_'DH-/)391_'DH-/)391_'DH-/)391_'DH-/)391_'DH-/)'DCEJ)'DCEJ)'DCEJ)'DCEJ)'DCEJ)'DCEJ)
</file>

<file path=customXml/item12.xml>��
</file>

<file path=customXml/item13.xml>��
</file>

<file path=customXml/item14.xml>��,/HD_'DEF*,'*,,/HD_'D9ED'!,,/HD_'DE(J9'*,,/HD_'DA1H9
</file>

<file path=customXml/item15.xml>��,/HD_'DE(J9'*
</file>

<file path=customXml/item16.xml>��,/HD_'D9ED'!'DE/JF)'DB7'9'3E_'D9EJDE91A_'D9EJD'DE/JF)'DB7'9'3E_'D9EJDE91A_'D9EJD
</file>

<file path=customXml/item17.xml>��,/HD_'DA1H9'3E_'DA19'D%BDJEE91A_'DA19'3E_'DA19'D%BDJEE91A_'DA19
</file>

<file path=customXml/item18.xml>��
</file>

<file path=customXml/item19.xml>��
</file>

<file path=customXml/item20.xml>��
</file>

<file path=customXml/item21.xml>��
</file>

<file path=customXml/item22.xml>��
</file>

<file path=customXml/item23.xml>��5'AI 'D1(-5'AI 'D1(-E*H37 'D1(-E*H37 'D1(-
</file>

<file path=customXml/item24.xml>��5'AI 'D1(-5'AI 'D1(-E*H37 'D1(-E*H37 'D1(-
</file>

<file path=customXml/item25.xml>��5'AI 'D1(-5'AI 'D1(-E*H37 'D1(-E*H37 'D1(-
</file>

<file path=customXml/item26.xml>��
</file>

<file path=customXml/item27.xml>��,/HD_'DEF*,'*E91A_'DEF*,'3E_'DEF*,'DA&)391_'DH-/)E91A_'DEF*,'3E_'DEF*,'DA&)391_'DH-/)
</file>

<file path=customXml/item28.xml>��,/HD_'DE(J9'*E91A_'D7D(*'1J._'D7D(E91A_'D9EJDE91A_'DEF*,E91A_'DA19'DCEJ)391_'DH-/)'D%,E'DJ_'DA19JF3()_'D.5EBJE)_'D.5EBJE)_'D61J()*CDA)_'D4-F'D%,E'DJ_'DCDQJ71JB)_'D/A9-'D)_'D7D(*'1J._'D7D(*'1J._'D7D(E91A_'D7D(*'1J._'D7D(E91A_'D9EJDE91A_'DEF*,E91A_'DA19'DCEJ)391_'DH-/)'D%,E'DJ_'DA19JF3()_'D.5EBJE)_'D.5EBJE)_'D61J()*CDA)_'D4-F'D%,E'DJ_'DCDQJ71JB)_'D/A9-'D)_'D7D(*'1J._'D7D(*'1J._'D7D(
</file>

<file path=customXml/itemProps1.xml><?xml version="1.0" encoding="utf-8"?>
<ds:datastoreItem xmlns:ds="http://schemas.openxmlformats.org/officeDocument/2006/customXml" ds:itemID="{9A687AE6-E81E-4036-B4A1-119AAD646E72}">
  <ds:schemaRefs/>
</ds:datastoreItem>
</file>

<file path=customXml/itemProps2.xml><?xml version="1.0" encoding="utf-8"?>
<ds:datastoreItem xmlns:ds="http://schemas.openxmlformats.org/officeDocument/2006/customXml" ds:itemID="{8AE39FBE-679C-45CE-A134-6E078929130E}">
  <ds:schemaRefs/>
</ds:datastoreItem>
</file>

<file path=customXml/itemProps3.xml><?xml version="1.0" encoding="utf-8"?>
<ds:datastoreItem xmlns:ds="http://schemas.openxmlformats.org/officeDocument/2006/customXml" ds:itemID="{D6B4A8E0-3FEE-409D-93AE-BF87AD41CDE6}">
  <ds:schemaRefs/>
</ds:datastoreItem>
</file>

<file path=customXml/itemProps4.xml><?xml version="1.0" encoding="utf-8"?>
<ds:datastoreItem xmlns:ds="http://schemas.openxmlformats.org/officeDocument/2006/customXml" ds:itemID="{59240DD3-BDE1-4DCC-9508-8C7C9821AA81}">
  <ds:schemaRefs/>
</ds:datastoreItem>
</file>

<file path=customXml/itemProps5.xml><?xml version="1.0" encoding="utf-8"?>
<ds:datastoreItem xmlns:ds="http://schemas.openxmlformats.org/officeDocument/2006/customXml" ds:itemID="{D0EF0093-2F3E-4E24-9BC1-83A10EF770F3}">
  <ds:schemaRefs/>
</ds:datastoreItem>
</file>

<file path=customXml/itemProps6.xml><?xml version="1.0" encoding="utf-8"?>
<ds:datastoreItem xmlns:ds="http://schemas.openxmlformats.org/officeDocument/2006/customXml" ds:itemID="{82EB2171-4FE8-478B-9F6F-EE798A329CE9}">
  <ds:schemaRefs/>
</ds:datastoreItem>
</file>

<file path=customXml/itemProps7.xml><?xml version="1.0" encoding="utf-8"?>
<ds:datastoreItem xmlns:ds="http://schemas.openxmlformats.org/officeDocument/2006/customXml" ds:itemID="{31F58895-EFDF-4FC2-9BF8-CBA814BE81DD}">
  <ds:schemaRefs/>
</ds:datastoreItem>
</file>

<file path=customXml/itemProps8.xml><?xml version="1.0" encoding="utf-8"?>
<ds:datastoreItem xmlns:ds="http://schemas.openxmlformats.org/officeDocument/2006/customXml" ds:itemID="{E4013136-9B73-4EA7-8A37-651598D5E231}">
  <ds:schemaRefs/>
</ds:datastoreItem>
</file>

<file path=customXml/itemProps9.xml><?xml version="1.0" encoding="utf-8"?>
<ds:datastoreItem xmlns:ds="http://schemas.openxmlformats.org/officeDocument/2006/customXml" ds:itemID="{35A5D16F-35ED-4929-9DBA-AEDC0D30FD7D}">
  <ds:schemaRefs/>
</ds:datastoreItem>
</file>

<file path=customXml/itemProps10.xml><?xml version="1.0" encoding="utf-8"?>
<ds:datastoreItem xmlns:ds="http://schemas.openxmlformats.org/officeDocument/2006/customXml" ds:itemID="{CA5BF31F-EFA4-4AD6-8840-7A2CB471D090}">
  <ds:schemaRefs/>
</ds:datastoreItem>
</file>

<file path=customXml/itemProps11.xml><?xml version="1.0" encoding="utf-8"?>
<ds:datastoreItem xmlns:ds="http://schemas.openxmlformats.org/officeDocument/2006/customXml" ds:itemID="{B92B6AFA-46FD-4960-8217-8905AE603278}">
  <ds:schemaRefs/>
</ds:datastoreItem>
</file>

<file path=customXml/itemProps12.xml><?xml version="1.0" encoding="utf-8"?>
<ds:datastoreItem xmlns:ds="http://schemas.openxmlformats.org/officeDocument/2006/customXml" ds:itemID="{7606B9C5-D3BA-4AA9-8FFC-23EDF6C8E892}">
  <ds:schemaRefs/>
</ds:datastoreItem>
</file>

<file path=customXml/itemProps13.xml><?xml version="1.0" encoding="utf-8"?>
<ds:datastoreItem xmlns:ds="http://schemas.openxmlformats.org/officeDocument/2006/customXml" ds:itemID="{82CE5ACD-FC6E-494D-88AF-236404BBCAEF}">
  <ds:schemaRefs>
    <ds:schemaRef ds:uri="http://schemas.microsoft.com/DataMashup"/>
  </ds:schemaRefs>
</ds:datastoreItem>
</file>

<file path=customXml/itemProps14.xml><?xml version="1.0" encoding="utf-8"?>
<ds:datastoreItem xmlns:ds="http://schemas.openxmlformats.org/officeDocument/2006/customXml" ds:itemID="{428E3A18-9EB7-49B8-9C11-E5CB870112B7}">
  <ds:schemaRefs/>
</ds:datastoreItem>
</file>

<file path=customXml/itemProps15.xml><?xml version="1.0" encoding="utf-8"?>
<ds:datastoreItem xmlns:ds="http://schemas.openxmlformats.org/officeDocument/2006/customXml" ds:itemID="{E2334521-4A32-4DD2-AE3A-DC93712822EE}">
  <ds:schemaRefs/>
</ds:datastoreItem>
</file>

<file path=customXml/itemProps16.xml><?xml version="1.0" encoding="utf-8"?>
<ds:datastoreItem xmlns:ds="http://schemas.openxmlformats.org/officeDocument/2006/customXml" ds:itemID="{479E3FF3-3FB6-4B83-8F3F-8FF3B9AD863E}">
  <ds:schemaRefs/>
</ds:datastoreItem>
</file>

<file path=customXml/itemProps17.xml><?xml version="1.0" encoding="utf-8"?>
<ds:datastoreItem xmlns:ds="http://schemas.openxmlformats.org/officeDocument/2006/customXml" ds:itemID="{52100642-1D5D-48D6-B4E6-33DC28FA53F3}">
  <ds:schemaRefs/>
</ds:datastoreItem>
</file>

<file path=customXml/itemProps18.xml><?xml version="1.0" encoding="utf-8"?>
<ds:datastoreItem xmlns:ds="http://schemas.openxmlformats.org/officeDocument/2006/customXml" ds:itemID="{45EB489D-E8FB-41FB-A0D0-A88F1E9888A1}">
  <ds:schemaRefs/>
</ds:datastoreItem>
</file>

<file path=customXml/itemProps19.xml><?xml version="1.0" encoding="utf-8"?>
<ds:datastoreItem xmlns:ds="http://schemas.openxmlformats.org/officeDocument/2006/customXml" ds:itemID="{9A7C9680-1A86-472E-9038-77DA4CCE4EF4}">
  <ds:schemaRefs/>
</ds:datastoreItem>
</file>

<file path=customXml/itemProps20.xml><?xml version="1.0" encoding="utf-8"?>
<ds:datastoreItem xmlns:ds="http://schemas.openxmlformats.org/officeDocument/2006/customXml" ds:itemID="{6FDE0FDB-A131-4616-9708-881BADB07FD1}">
  <ds:schemaRefs/>
</ds:datastoreItem>
</file>

<file path=customXml/itemProps21.xml><?xml version="1.0" encoding="utf-8"?>
<ds:datastoreItem xmlns:ds="http://schemas.openxmlformats.org/officeDocument/2006/customXml" ds:itemID="{A8134DCC-6860-4216-911F-657DE3D2F178}">
  <ds:schemaRefs/>
</ds:datastoreItem>
</file>

<file path=customXml/itemProps22.xml><?xml version="1.0" encoding="utf-8"?>
<ds:datastoreItem xmlns:ds="http://schemas.openxmlformats.org/officeDocument/2006/customXml" ds:itemID="{D51AF727-FB19-43AC-9933-399D4CD7F175}">
  <ds:schemaRefs/>
</ds:datastoreItem>
</file>

<file path=customXml/itemProps23.xml><?xml version="1.0" encoding="utf-8"?>
<ds:datastoreItem xmlns:ds="http://schemas.openxmlformats.org/officeDocument/2006/customXml" ds:itemID="{23DEEDA7-D030-4DDE-B115-42867AED7A7A}">
  <ds:schemaRefs/>
</ds:datastoreItem>
</file>

<file path=customXml/itemProps24.xml><?xml version="1.0" encoding="utf-8"?>
<ds:datastoreItem xmlns:ds="http://schemas.openxmlformats.org/officeDocument/2006/customXml" ds:itemID="{4E44E2F9-35CA-4C0B-93EE-51550099518C}">
  <ds:schemaRefs/>
</ds:datastoreItem>
</file>

<file path=customXml/itemProps25.xml><?xml version="1.0" encoding="utf-8"?>
<ds:datastoreItem xmlns:ds="http://schemas.openxmlformats.org/officeDocument/2006/customXml" ds:itemID="{B54D6E45-2491-4C96-9E24-6848CF80495E}">
  <ds:schemaRefs/>
</ds:datastoreItem>
</file>

<file path=customXml/itemProps26.xml><?xml version="1.0" encoding="utf-8"?>
<ds:datastoreItem xmlns:ds="http://schemas.openxmlformats.org/officeDocument/2006/customXml" ds:itemID="{55866A32-17D0-433A-B78B-1AB39512D529}">
  <ds:schemaRefs/>
</ds:datastoreItem>
</file>

<file path=customXml/itemProps27.xml><?xml version="1.0" encoding="utf-8"?>
<ds:datastoreItem xmlns:ds="http://schemas.openxmlformats.org/officeDocument/2006/customXml" ds:itemID="{5584A979-1F65-4F21-9965-D3E5EA96DF97}">
  <ds:schemaRefs/>
</ds:datastoreItem>
</file>

<file path=customXml/itemProps28.xml><?xml version="1.0" encoding="utf-8"?>
<ds:datastoreItem xmlns:ds="http://schemas.openxmlformats.org/officeDocument/2006/customXml" ds:itemID="{5E75E0A7-F5C7-4BC3-9DBD-CB35D37D0A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جدول_المنتجات</vt:lpstr>
      <vt:lpstr>جدول_المبيعات</vt:lpstr>
      <vt:lpstr>جدول_العملاء</vt:lpstr>
      <vt:lpstr>جدول_الفروع</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 حسين</dc:creator>
  <cp:lastModifiedBy>محمد حسين</cp:lastModifiedBy>
  <dcterms:created xsi:type="dcterms:W3CDTF">2026-09-09T20:23:15Z</dcterms:created>
  <dcterms:modified xsi:type="dcterms:W3CDTF">2026-09-10T20:22:47Z</dcterms:modified>
</cp:coreProperties>
</file>